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SSEIN\Desktop\"/>
    </mc:Choice>
  </mc:AlternateContent>
  <xr:revisionPtr revIDLastSave="0" documentId="13_ncr:1_{F99CB75A-679E-4A05-BC35-FEC9154C6276}" xr6:coauthVersionLast="47" xr6:coauthVersionMax="47" xr10:uidLastSave="{00000000-0000-0000-0000-000000000000}"/>
  <bookViews>
    <workbookView xWindow="20370" yWindow="-120" windowWidth="29040" windowHeight="15720" activeTab="5" xr2:uid="{9407C059-AC38-413C-A1D7-84F7ACAB02AA}"/>
  </bookViews>
  <sheets>
    <sheet name="All Sales" sheetId="5" r:id="rId1"/>
    <sheet name="Sales_1998" sheetId="4" r:id="rId2"/>
    <sheet name="Sales_1997" sheetId="3" r:id="rId3"/>
    <sheet name="Sales_1996" sheetId="2" r:id="rId4"/>
    <sheet name="Analysis" sheetId="1" r:id="rId5"/>
    <sheet name="Dashboard" sheetId="6" r:id="rId6"/>
    <sheet name="Dashboard2" sheetId="7" r:id="rId7"/>
  </sheets>
  <definedNames>
    <definedName name="ExternalData_1" localSheetId="3" hidden="1">Sales_1996!$A$1:$G$149</definedName>
    <definedName name="ExternalData_2" localSheetId="2" hidden="1">Sales_1997!$A$1:$G$397</definedName>
    <definedName name="ExternalData_3" localSheetId="1" hidden="1">Sales_1998!$A$1:$G$263</definedName>
    <definedName name="ExternalData_4" localSheetId="0" hidden="1">'All Sales'!$A$1:$G$807</definedName>
  </definedName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6" i="1" l="1"/>
  <c r="N25" i="1"/>
  <c r="G26" i="1"/>
  <c r="G25" i="1"/>
  <c r="J15" i="1"/>
  <c r="F14" i="1"/>
  <c r="B1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FA26037-6CDE-4749-8C37-5B7C72E74DC5}" keepAlive="1" name="Query - All Sales" description="Connection to the 'All Sales' query in the workbook." type="5" refreshedVersion="8" background="1" saveData="1">
    <dbPr connection="Provider=Microsoft.Mashup.OleDb.1;Data Source=$Workbook$;Location=&quot;All Sales&quot;;Extended Properties=&quot;&quot;" command="SELECT * FROM [All Sales]"/>
  </connection>
  <connection id="2" xr16:uid="{31F9FD69-CE45-43CB-B3E7-A4106271A8A9}" keepAlive="1" name="Query - Sales_1996" description="Connection to the 'Sales_1996' query in the workbook." type="5" refreshedVersion="8" background="1" saveData="1">
    <dbPr connection="Provider=Microsoft.Mashup.OleDb.1;Data Source=$Workbook$;Location=Sales_1996;Extended Properties=&quot;&quot;" command="SELECT * FROM [Sales_1996]"/>
  </connection>
  <connection id="3" xr16:uid="{359E43D8-96D6-4DE3-8EC8-34B7881E5E3F}" keepAlive="1" name="Query - Sales_1997" description="Connection to the 'Sales_1997' query in the workbook." type="5" refreshedVersion="8" background="1" saveData="1">
    <dbPr connection="Provider=Microsoft.Mashup.OleDb.1;Data Source=$Workbook$;Location=Sales_1997;Extended Properties=&quot;&quot;" command="SELECT * FROM [Sales_1997]"/>
  </connection>
  <connection id="4" xr16:uid="{50CCA40E-E1FD-4BD0-B92F-E8A54A62390E}" keepAlive="1" name="Query - Sales_1998" description="Connection to the 'Sales_1998' query in the workbook." type="5" refreshedVersion="8" background="1" saveData="1">
    <dbPr connection="Provider=Microsoft.Mashup.OleDb.1;Data Source=$Workbook$;Location=Sales_1998;Extended Properties=&quot;&quot;" command="SELECT * FROM [Sales_1998]"/>
  </connection>
</connections>
</file>

<file path=xl/sharedStrings.xml><?xml version="1.0" encoding="utf-8"?>
<sst xmlns="http://schemas.openxmlformats.org/spreadsheetml/2006/main" count="4996" uniqueCount="124">
  <si>
    <t>EmployeeID</t>
  </si>
  <si>
    <t>RegionDescription</t>
  </si>
  <si>
    <t>CompanyName</t>
  </si>
  <si>
    <t>Year</t>
  </si>
  <si>
    <t>Month</t>
  </si>
  <si>
    <t>Total Quantity</t>
  </si>
  <si>
    <t>Total Sales</t>
  </si>
  <si>
    <t>Western</t>
  </si>
  <si>
    <t>Ana Trujillo Emparedados Y Helados</t>
  </si>
  <si>
    <t>September</t>
  </si>
  <si>
    <t>Southern</t>
  </si>
  <si>
    <t>Antonio Moreno Taquería</t>
  </si>
  <si>
    <t>November</t>
  </si>
  <si>
    <t>Northern</t>
  </si>
  <si>
    <t>Around The Horn</t>
  </si>
  <si>
    <t>December</t>
  </si>
  <si>
    <t>B'S Beverages</t>
  </si>
  <si>
    <t>August</t>
  </si>
  <si>
    <t>Berglunds Snabbköp</t>
  </si>
  <si>
    <t>Eastern</t>
  </si>
  <si>
    <t>Blondesddsl Père Et Fils</t>
  </si>
  <si>
    <t>July</t>
  </si>
  <si>
    <t>Bon App'</t>
  </si>
  <si>
    <t>October</t>
  </si>
  <si>
    <t>Bottom-Dollar Markets</t>
  </si>
  <si>
    <t>Bólido Comidas Preparadas</t>
  </si>
  <si>
    <t>Centro Comercial Moctezuma</t>
  </si>
  <si>
    <t>Chop-Suey Chinese</t>
  </si>
  <si>
    <t>Comércio Mineiro</t>
  </si>
  <si>
    <t>Die Wandernde Kuh</t>
  </si>
  <si>
    <t>Drachenblut Delikatessen</t>
  </si>
  <si>
    <t>Du Monde Entier</t>
  </si>
  <si>
    <t>Eastern Connection</t>
  </si>
  <si>
    <t>Ernst Handel</t>
  </si>
  <si>
    <t>Familia Arquibaldo</t>
  </si>
  <si>
    <t>Folk Och Fä Hb</t>
  </si>
  <si>
    <t>Frankenversand</t>
  </si>
  <si>
    <t>Furia Bacalhau E Frutos Do Mar</t>
  </si>
  <si>
    <t>Grosella-Restaurante</t>
  </si>
  <si>
    <t>Galería Del Gastrónomo</t>
  </si>
  <si>
    <t>Godos Cocina Típica</t>
  </si>
  <si>
    <t>Hilarion-Abastos</t>
  </si>
  <si>
    <t>Hanari Carnes</t>
  </si>
  <si>
    <t>Hungry Coyote Import Store</t>
  </si>
  <si>
    <t>Hungry Owl All-Night Grocers</t>
  </si>
  <si>
    <t>Island Trading</t>
  </si>
  <si>
    <t>Königlich Essen</t>
  </si>
  <si>
    <t>Lila-Supermercado</t>
  </si>
  <si>
    <t>La Maison D'Asie</t>
  </si>
  <si>
    <t>Lehmanns Marktstand</t>
  </si>
  <si>
    <t>Lonesome Pine Restaurant</t>
  </si>
  <si>
    <t>Magazzini Alimentari Riuniti</t>
  </si>
  <si>
    <t>Morgenstern Gesundkost</t>
  </si>
  <si>
    <t>Mère Paillarde</t>
  </si>
  <si>
    <t>Old World Delicatessen</t>
  </si>
  <si>
    <t>Ottilies Käseladen</t>
  </si>
  <si>
    <t>Pericles Comidas Clásicas</t>
  </si>
  <si>
    <t>Piccolo Und Mehr</t>
  </si>
  <si>
    <t>Princesa Isabel Vinhos</t>
  </si>
  <si>
    <t>Quick-Stop</t>
  </si>
  <si>
    <t>Que Delícia</t>
  </si>
  <si>
    <t>Queen Cozinha</t>
  </si>
  <si>
    <t>Rattlesnake Canyon Grocery</t>
  </si>
  <si>
    <t>Reggiani Caseifici</t>
  </si>
  <si>
    <t>Ricardo Adocicados</t>
  </si>
  <si>
    <t>Richter Supermarkt</t>
  </si>
  <si>
    <t>Romero Y Tomillo</t>
  </si>
  <si>
    <t>Santé Gourmet</t>
  </si>
  <si>
    <t>Save-A-Lot Markets</t>
  </si>
  <si>
    <t>Seven Seas Imports</t>
  </si>
  <si>
    <t>Simons Bistro</t>
  </si>
  <si>
    <t>Split Rail Beer &amp; Ale</t>
  </si>
  <si>
    <t>Suprêmes Délices</t>
  </si>
  <si>
    <t>The Big Cheese</t>
  </si>
  <si>
    <t>Toms Spezialitäten</t>
  </si>
  <si>
    <t>Tortuga Restaurante</t>
  </si>
  <si>
    <t>Tradição Hipermercados</t>
  </si>
  <si>
    <t>Vaffeljernet</t>
  </si>
  <si>
    <t>Victuailles En Stock</t>
  </si>
  <si>
    <t>Vins Et Alcools Chevalier</t>
  </si>
  <si>
    <t>Wartian Herkku</t>
  </si>
  <si>
    <t>Wellington Importadora</t>
  </si>
  <si>
    <t>White Clover Markets</t>
  </si>
  <si>
    <t>Wolski  Zajazd</t>
  </si>
  <si>
    <t>Alfreds Futterkiste</t>
  </si>
  <si>
    <t>April</t>
  </si>
  <si>
    <t>June</t>
  </si>
  <si>
    <t>May</t>
  </si>
  <si>
    <t>February</t>
  </si>
  <si>
    <t>March</t>
  </si>
  <si>
    <t>Blauer See Delikatessen</t>
  </si>
  <si>
    <t>January</t>
  </si>
  <si>
    <t>Cactus Comidas Para Llevar</t>
  </si>
  <si>
    <t>Consolidated Holdings</t>
  </si>
  <si>
    <t>Folies Gourmandes</t>
  </si>
  <si>
    <t>France Restauration</t>
  </si>
  <si>
    <t>Franchi S.P.A.</t>
  </si>
  <si>
    <t>Gourmet Lanchonetes</t>
  </si>
  <si>
    <t>Great Lakes Food Market</t>
  </si>
  <si>
    <t>Lino-Delicateses</t>
  </si>
  <si>
    <t>Laughing Bacchus Wine Cellars</t>
  </si>
  <si>
    <t>Lazy K Kountry Store</t>
  </si>
  <si>
    <t>Let'S Stop N Shop</t>
  </si>
  <si>
    <t>Maison Dewey</t>
  </si>
  <si>
    <t>North/South</t>
  </si>
  <si>
    <t>Océano Atlántico Ltda.</t>
  </si>
  <si>
    <t>Rancho Grande</t>
  </si>
  <si>
    <t>Spécialités Du Monde</t>
  </si>
  <si>
    <t>The Cracker Box</t>
  </si>
  <si>
    <t>Trail'S Head Gourmet Provisioners</t>
  </si>
  <si>
    <t>Wilman Kala</t>
  </si>
  <si>
    <t>La Corne D'Abondance</t>
  </si>
  <si>
    <t>Row Labels</t>
  </si>
  <si>
    <t>Grand Total</t>
  </si>
  <si>
    <t>Sum of Total Sales</t>
  </si>
  <si>
    <t>Sum of Total Quantity</t>
  </si>
  <si>
    <t>Column Labels</t>
  </si>
  <si>
    <t>Quantities By Employees</t>
  </si>
  <si>
    <t>Sales By Employees</t>
  </si>
  <si>
    <t>SALES</t>
  </si>
  <si>
    <t>Quantites</t>
  </si>
  <si>
    <t>Top Company</t>
  </si>
  <si>
    <t>Sales By Companies</t>
  </si>
  <si>
    <t xml:space="preserve"> Sales Over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</si>
</sst>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[&gt;=1000000]&quot;$&quot;0.0,,&quot;M&quot;;[&gt;=1000]&quot;$&quot;0.0,,&quot;K&quot;;"/>
    <numFmt numFmtId="166" formatCode="#,\ &quot;K&quot;"/>
    <numFmt numFmtId="167" formatCode="_(* #,##0_);_(* \(#,##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43942"/>
        <bgColor indexed="64"/>
      </patternFill>
    </fill>
    <fill>
      <patternFill patternType="solid">
        <fgColor rgb="FF000B7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0" xfId="0" pivotButton="1" applyAlignment="1">
      <alignment horizontal="center"/>
    </xf>
    <xf numFmtId="44" fontId="0" fillId="0" borderId="0" xfId="1" applyFont="1" applyAlignment="1">
      <alignment horizontal="center"/>
    </xf>
    <xf numFmtId="4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 indent="1"/>
    </xf>
    <xf numFmtId="1" fontId="0" fillId="0" borderId="0" xfId="0" applyNumberFormat="1" applyAlignment="1">
      <alignment horizontal="center"/>
    </xf>
    <xf numFmtId="0" fontId="2" fillId="2" borderId="0" xfId="0" applyFont="1" applyFill="1"/>
    <xf numFmtId="0" fontId="0" fillId="2" borderId="0" xfId="0" applyFill="1"/>
    <xf numFmtId="0" fontId="0" fillId="3" borderId="0" xfId="0" applyFill="1"/>
    <xf numFmtId="0" fontId="3" fillId="0" borderId="0" xfId="0" applyFont="1" applyAlignment="1">
      <alignment horizontal="center"/>
    </xf>
    <xf numFmtId="167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2">
    <cellStyle name="Currency" xfId="1" builtinId="4"/>
    <cellStyle name="Normal" xfId="0" builtinId="0"/>
  </cellStyles>
  <dxfs count="106">
    <dxf>
      <numFmt numFmtId="164" formatCode="_(&quot;$&quot;* #,##0_);_(&quot;$&quot;* \(#,##0\);_(&quot;$&quot;* &quot;-&quot;??_);_(@_)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7" formatCode="_(* #,##0_);_(* \(#,##0\);_(* &quot;-&quot;??_);_(@_)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(&quot;$&quot;* #,##0.00_);_(&quot;$&quot;* \(#,##0.00\);_(&quot;$&quot;* &quot;-&quot;??_);_(@_)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(&quot;$&quot;* #,##0.00_);_(&quot;$&quot;* \(#,##0.00\);_(&quot;$&quot;* &quot;-&quot;??_);_(@_)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7" formatCode="_(* #,##0_);_(* \(#,##0\);_(* &quot;-&quot;??_);_(@_)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7" formatCode="_(* #,##0_);_(* \(#,##0\);_(* &quot;-&quot;??_);_(@_)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_(&quot;$&quot;* #,##0_);_(&quot;$&quot;* \(#,##0\);_(&quot;$&quot;* &quot;-&quot;??_);_(@_)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97DC7E"/>
      <color rgb="FF3D8377"/>
      <color rgb="FF57B1A1"/>
      <color rgb="FF22379F"/>
      <color rgb="FF011C1F"/>
      <color rgb="FF082532"/>
      <color rgb="FF0A2E3E"/>
      <color rgb="FF4E0636"/>
      <color rgb="FF5F0742"/>
      <color rgb="FF2C073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[Hussein Hany Hussein.xlsx]Analysis!PivotTable6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657D7E"/>
                </a:solidFill>
                <a:latin typeface="+mn-lt"/>
                <a:ea typeface="+mn-ea"/>
                <a:cs typeface="+mn-cs"/>
              </a:defRPr>
            </a:pPr>
            <a:r>
              <a:rPr lang="en-US" sz="1600">
                <a:solidFill>
                  <a:srgbClr val="57B1A1"/>
                </a:solidFill>
              </a:rPr>
              <a:t>Sales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657D7E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657D7E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5.9806371903407159E-2"/>
              <c:y val="-0.2661690726159230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657D7E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2.2420915968746676E-2"/>
              <c:y val="9.957166812481772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657D7E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5.1498492806815961E-2"/>
              <c:y val="0.1134605570137066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657D7E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3.4882734613633573E-2"/>
              <c:y val="0.1134605570137066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657D7E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3.3498088097534934E-2"/>
              <c:y val="-0.2615394429862934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657D7E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1.8266976420451077E-2"/>
              <c:y val="5.790500145815089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657D7E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2.3805562484845208E-2"/>
              <c:y val="4.864574219889163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657D7E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2.6574855517042272E-2"/>
              <c:y val="9.031240886555838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657D7E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3.3498088097534934E-2"/>
              <c:y val="-0.1457987022455526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657D7E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8.1960716160983577E-2"/>
              <c:y val="2.086796442111394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657D7E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4.4205112594657486E-3"/>
              <c:y val="-0.1643172207640711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657D7E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3.3498088097534934E-2"/>
              <c:y val="8.568277923592876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657D7E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3.2113441581436378E-2"/>
              <c:y val="9.494203849518802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657D7E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3.3498088097534934E-2"/>
              <c:y val="0.1227198162729658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657D7E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4.3190613710224666E-2"/>
              <c:y val="-0.1596875911344415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657D7E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2.5190209000943764E-2"/>
              <c:y val="-0.1457987022455526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657D7E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2.519020900094374E-2"/>
              <c:y val="-0.1643172207640711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657D7E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3.2501142605943993E-2"/>
              <c:y val="-0.1272801837270341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657D7E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2.2884718037997315E-2"/>
              <c:y val="-3.468759113444153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657D7E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657D7E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4.3190613710224666E-2"/>
              <c:y val="-0.1596875911344415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657D7E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2.5190209000943764E-2"/>
              <c:y val="-0.1457987022455526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657D7E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3.3498088097534934E-2"/>
              <c:y val="0.1227198162729658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657D7E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2.519020900094374E-2"/>
              <c:y val="-0.1643172207640711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657D7E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3.2113441581436378E-2"/>
              <c:y val="9.494203849518802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657D7E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3.2501142605943993E-2"/>
              <c:y val="-0.1272801837270341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657D7E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3.3498088097534934E-2"/>
              <c:y val="8.568277923592876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657D7E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2.2884718037997315E-2"/>
              <c:y val="-3.468759113444153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657D7E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4.4205112594657486E-3"/>
              <c:y val="-0.1643172207640711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657D7E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8.1960716160983577E-2"/>
              <c:y val="2.086796442111394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657D7E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3.3498088097534934E-2"/>
              <c:y val="-0.1457987022455526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657D7E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2.6574855517042272E-2"/>
              <c:y val="9.031240886555838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657D7E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2.3805562484845208E-2"/>
              <c:y val="4.864574219889163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657D7E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1.8266976420451077E-2"/>
              <c:y val="5.790500145815089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657D7E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3.3498088097534934E-2"/>
              <c:y val="-0.2615394429862934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657D7E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3.4882734613633573E-2"/>
              <c:y val="0.1134605570137066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657D7E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8575" cap="rnd"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5.1498492806815961E-2"/>
              <c:y val="0.1134605570137066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657D7E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28575" cap="rnd"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2.2420915968746676E-2"/>
              <c:y val="9.957166812481772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657D7E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28575" cap="rnd"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5.9806371903407159E-2"/>
              <c:y val="-0.2661690726159230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657D7E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ln w="28575" cap="rnd"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657D7E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ln w="28575" cap="rnd"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4.3190613710224666E-2"/>
              <c:y val="-0.1596875911344415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657D7E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ln w="28575" cap="rnd"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2.5190209000943764E-2"/>
              <c:y val="-0.1457987022455526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657D7E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ln w="28575" cap="rnd"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3.3498088097534934E-2"/>
              <c:y val="0.1227198162729658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657D7E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ln w="28575" cap="rnd"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2.519020900094374E-2"/>
              <c:y val="-0.1643172207640711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657D7E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ln w="28575" cap="rnd"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3.2113441581436378E-2"/>
              <c:y val="9.494203849518802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657D7E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ln w="28575" cap="rnd"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3.2501142605943993E-2"/>
              <c:y val="-0.1272801837270341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657D7E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ln w="28575" cap="rnd"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3.3498088097534934E-2"/>
              <c:y val="8.568277923592876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657D7E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ln w="28575" cap="rnd"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2.2884718037997315E-2"/>
              <c:y val="-3.468759113444153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657D7E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ln w="28575" cap="rnd"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4.4205112594657486E-3"/>
              <c:y val="-0.1643172207640711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657D7E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ln w="28575" cap="rnd"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8.1960716160983577E-2"/>
              <c:y val="2.086796442111394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657D7E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ln w="28575" cap="rnd"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3.3498088097534934E-2"/>
              <c:y val="-0.1457987022455526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657D7E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ln w="28575" cap="rnd"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2.6574855517042272E-2"/>
              <c:y val="9.031240886555838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657D7E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ln w="28575" cap="rnd"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2.3805562484845208E-2"/>
              <c:y val="4.864574219889163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657D7E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ln w="28575" cap="rnd"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1.8266976420451077E-2"/>
              <c:y val="5.790500145815089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657D7E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ln w="28575" cap="rnd"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3.3498088097534934E-2"/>
              <c:y val="-0.2615394429862934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657D7E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ln w="28575" cap="rnd"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3.4882734613633573E-2"/>
              <c:y val="0.1134605570137066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657D7E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ln w="28575" cap="rnd"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5.1498492806815961E-2"/>
              <c:y val="0.1134605570137066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657D7E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ln w="28575" cap="rnd"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2.2420915968746676E-2"/>
              <c:y val="9.957166812481772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657D7E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ln w="28575" cap="rnd"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5.9806371903407159E-2"/>
              <c:y val="-0.2661690726159230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657D7E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7964373372222639E-2"/>
          <c:y val="4.6296296296296294E-2"/>
          <c:w val="0.95092921774231509"/>
          <c:h val="0.76510863225430159"/>
        </c:manualLayout>
      </c:layout>
      <c:lineChart>
        <c:grouping val="standard"/>
        <c:varyColors val="0"/>
        <c:ser>
          <c:idx val="0"/>
          <c:order val="0"/>
          <c:tx>
            <c:strRef>
              <c:f>Analysis!$I$48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BF75-491D-A8EA-CF5E4F17DB5F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28575" cap="rnd"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BF75-491D-A8EA-CF5E4F17DB5F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BF75-491D-A8EA-CF5E4F17DB5F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8575" cap="rnd"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BF75-491D-A8EA-CF5E4F17DB5F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28575" cap="rnd"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BF75-491D-A8EA-CF5E4F17DB5F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28575" cap="rnd"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BF75-491D-A8EA-CF5E4F17DB5F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28575" cap="rnd"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BF75-491D-A8EA-CF5E4F17DB5F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28575" cap="rnd"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BF75-491D-A8EA-CF5E4F17DB5F}"/>
              </c:ext>
            </c:extLst>
          </c:dPt>
          <c:dPt>
            <c:idx val="8"/>
            <c:marker>
              <c:symbol val="none"/>
            </c:marker>
            <c:bubble3D val="0"/>
            <c:spPr>
              <a:ln w="28575" cap="rnd"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BF75-491D-A8EA-CF5E4F17DB5F}"/>
              </c:ext>
            </c:extLst>
          </c:dPt>
          <c:dPt>
            <c:idx val="9"/>
            <c:marker>
              <c:symbol val="none"/>
            </c:marker>
            <c:bubble3D val="0"/>
            <c:spPr>
              <a:ln w="28575" cap="rnd"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BF75-491D-A8EA-CF5E4F17DB5F}"/>
              </c:ext>
            </c:extLst>
          </c:dPt>
          <c:dPt>
            <c:idx val="10"/>
            <c:marker>
              <c:symbol val="none"/>
            </c:marker>
            <c:bubble3D val="0"/>
            <c:spPr>
              <a:ln w="28575" cap="rnd"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BF75-491D-A8EA-CF5E4F17DB5F}"/>
              </c:ext>
            </c:extLst>
          </c:dPt>
          <c:dPt>
            <c:idx val="11"/>
            <c:marker>
              <c:symbol val="none"/>
            </c:marker>
            <c:bubble3D val="0"/>
            <c:spPr>
              <a:ln w="28575" cap="rnd"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BF75-491D-A8EA-CF5E4F17DB5F}"/>
              </c:ext>
            </c:extLst>
          </c:dPt>
          <c:dPt>
            <c:idx val="13"/>
            <c:marker>
              <c:symbol val="none"/>
            </c:marker>
            <c:bubble3D val="0"/>
            <c:spPr>
              <a:ln w="28575" cap="rnd"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BF75-491D-A8EA-CF5E4F17DB5F}"/>
              </c:ext>
            </c:extLst>
          </c:dPt>
          <c:dPt>
            <c:idx val="15"/>
            <c:marker>
              <c:symbol val="none"/>
            </c:marker>
            <c:bubble3D val="0"/>
            <c:spPr>
              <a:ln w="28575" cap="rnd"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BF75-491D-A8EA-CF5E4F17DB5F}"/>
              </c:ext>
            </c:extLst>
          </c:dPt>
          <c:dPt>
            <c:idx val="16"/>
            <c:marker>
              <c:symbol val="none"/>
            </c:marker>
            <c:bubble3D val="0"/>
            <c:spPr>
              <a:ln w="28575" cap="rnd"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E-BF75-491D-A8EA-CF5E4F17DB5F}"/>
              </c:ext>
            </c:extLst>
          </c:dPt>
          <c:dPt>
            <c:idx val="17"/>
            <c:marker>
              <c:symbol val="none"/>
            </c:marker>
            <c:bubble3D val="0"/>
            <c:spPr>
              <a:ln w="28575" cap="rnd"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BF75-491D-A8EA-CF5E4F17DB5F}"/>
              </c:ext>
            </c:extLst>
          </c:dPt>
          <c:dPt>
            <c:idx val="19"/>
            <c:marker>
              <c:symbol val="none"/>
            </c:marker>
            <c:bubble3D val="0"/>
            <c:spPr>
              <a:ln w="28575" cap="rnd"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0-BF75-491D-A8EA-CF5E4F17DB5F}"/>
              </c:ext>
            </c:extLst>
          </c:dPt>
          <c:dPt>
            <c:idx val="20"/>
            <c:marker>
              <c:symbol val="none"/>
            </c:marker>
            <c:bubble3D val="0"/>
            <c:spPr>
              <a:ln w="28575" cap="rnd"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BF75-491D-A8EA-CF5E4F17DB5F}"/>
              </c:ext>
            </c:extLst>
          </c:dPt>
          <c:dPt>
            <c:idx val="21"/>
            <c:marker>
              <c:symbol val="none"/>
            </c:marker>
            <c:bubble3D val="0"/>
            <c:spPr>
              <a:ln w="28575" cap="rnd"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2-BF75-491D-A8EA-CF5E4F17DB5F}"/>
              </c:ext>
            </c:extLst>
          </c:dPt>
          <c:dLbls>
            <c:dLbl>
              <c:idx val="0"/>
              <c:layout>
                <c:manualLayout>
                  <c:x val="-4.3190613710224666E-2"/>
                  <c:y val="-0.1596875911344415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F75-491D-A8EA-CF5E4F17DB5F}"/>
                </c:ext>
              </c:extLst>
            </c:dLbl>
            <c:dLbl>
              <c:idx val="1"/>
              <c:layout>
                <c:manualLayout>
                  <c:x val="-2.5190209000943764E-2"/>
                  <c:y val="-0.1457987022455526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F75-491D-A8EA-CF5E4F17DB5F}"/>
                </c:ext>
              </c:extLst>
            </c:dLbl>
            <c:dLbl>
              <c:idx val="2"/>
              <c:layout>
                <c:manualLayout>
                  <c:x val="-3.3498088097534934E-2"/>
                  <c:y val="0.1227198162729658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F75-491D-A8EA-CF5E4F17DB5F}"/>
                </c:ext>
              </c:extLst>
            </c:dLbl>
            <c:dLbl>
              <c:idx val="3"/>
              <c:layout>
                <c:manualLayout>
                  <c:x val="-2.519020900094374E-2"/>
                  <c:y val="-0.1643172207640711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F75-491D-A8EA-CF5E4F17DB5F}"/>
                </c:ext>
              </c:extLst>
            </c:dLbl>
            <c:dLbl>
              <c:idx val="4"/>
              <c:layout>
                <c:manualLayout>
                  <c:x val="-3.2113441581436378E-2"/>
                  <c:y val="9.49420384951880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F75-491D-A8EA-CF5E4F17DB5F}"/>
                </c:ext>
              </c:extLst>
            </c:dLbl>
            <c:dLbl>
              <c:idx val="5"/>
              <c:layout>
                <c:manualLayout>
                  <c:x val="-3.2501142605943993E-2"/>
                  <c:y val="-0.1272801837270341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F75-491D-A8EA-CF5E4F17DB5F}"/>
                </c:ext>
              </c:extLst>
            </c:dLbl>
            <c:dLbl>
              <c:idx val="6"/>
              <c:layout>
                <c:manualLayout>
                  <c:x val="-3.3498088097534934E-2"/>
                  <c:y val="8.568277923592876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F75-491D-A8EA-CF5E4F17DB5F}"/>
                </c:ext>
              </c:extLst>
            </c:dLbl>
            <c:dLbl>
              <c:idx val="7"/>
              <c:layout>
                <c:manualLayout>
                  <c:x val="2.2884718037997315E-2"/>
                  <c:y val="-3.46875911344415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F75-491D-A8EA-CF5E4F17DB5F}"/>
                </c:ext>
              </c:extLst>
            </c:dLbl>
            <c:dLbl>
              <c:idx val="8"/>
              <c:layout>
                <c:manualLayout>
                  <c:x val="-4.4205112594657486E-3"/>
                  <c:y val="-0.1643172207640711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F75-491D-A8EA-CF5E4F17DB5F}"/>
                </c:ext>
              </c:extLst>
            </c:dLbl>
            <c:dLbl>
              <c:idx val="9"/>
              <c:layout>
                <c:manualLayout>
                  <c:x val="-8.1960716160983577E-2"/>
                  <c:y val="2.086796442111394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F75-491D-A8EA-CF5E4F17DB5F}"/>
                </c:ext>
              </c:extLst>
            </c:dLbl>
            <c:dLbl>
              <c:idx val="10"/>
              <c:layout>
                <c:manualLayout>
                  <c:x val="-3.3498088097534934E-2"/>
                  <c:y val="-0.1457987022455526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F75-491D-A8EA-CF5E4F17DB5F}"/>
                </c:ext>
              </c:extLst>
            </c:dLbl>
            <c:dLbl>
              <c:idx val="11"/>
              <c:layout>
                <c:manualLayout>
                  <c:x val="-2.6574855517042272E-2"/>
                  <c:y val="9.031240886555838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F75-491D-A8EA-CF5E4F17DB5F}"/>
                </c:ext>
              </c:extLst>
            </c:dLbl>
            <c:dLbl>
              <c:idx val="13"/>
              <c:layout>
                <c:manualLayout>
                  <c:x val="-2.3805562484845208E-2"/>
                  <c:y val="4.86457421988916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F75-491D-A8EA-CF5E4F17DB5F}"/>
                </c:ext>
              </c:extLst>
            </c:dLbl>
            <c:dLbl>
              <c:idx val="15"/>
              <c:layout>
                <c:manualLayout>
                  <c:x val="-1.8266976420451077E-2"/>
                  <c:y val="5.790500145815089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F75-491D-A8EA-CF5E4F17DB5F}"/>
                </c:ext>
              </c:extLst>
            </c:dLbl>
            <c:dLbl>
              <c:idx val="16"/>
              <c:layout>
                <c:manualLayout>
                  <c:x val="-3.3498088097534934E-2"/>
                  <c:y val="-0.2615394429862934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BF75-491D-A8EA-CF5E4F17DB5F}"/>
                </c:ext>
              </c:extLst>
            </c:dLbl>
            <c:dLbl>
              <c:idx val="17"/>
              <c:layout>
                <c:manualLayout>
                  <c:x val="-3.4882734613633573E-2"/>
                  <c:y val="0.1134605570137066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BF75-491D-A8EA-CF5E4F17DB5F}"/>
                </c:ext>
              </c:extLst>
            </c:dLbl>
            <c:dLbl>
              <c:idx val="19"/>
              <c:layout>
                <c:manualLayout>
                  <c:x val="-5.1498492806815961E-2"/>
                  <c:y val="0.1134605570137066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BF75-491D-A8EA-CF5E4F17DB5F}"/>
                </c:ext>
              </c:extLst>
            </c:dLbl>
            <c:dLbl>
              <c:idx val="20"/>
              <c:layout>
                <c:manualLayout>
                  <c:x val="-2.2420915968746676E-2"/>
                  <c:y val="9.95716681248177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BF75-491D-A8EA-CF5E4F17DB5F}"/>
                </c:ext>
              </c:extLst>
            </c:dLbl>
            <c:dLbl>
              <c:idx val="21"/>
              <c:layout>
                <c:manualLayout>
                  <c:x val="-5.9806371903407159E-2"/>
                  <c:y val="-0.2661690726159230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BF75-491D-A8EA-CF5E4F17DB5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657D7E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Analysis!$H$49:$H$84</c:f>
              <c:multiLvlStrCache>
                <c:ptCount val="23"/>
                <c:lvl>
                  <c:pt idx="0">
                    <c:v>1997</c:v>
                  </c:pt>
                  <c:pt idx="1">
                    <c:v>1998</c:v>
                  </c:pt>
                  <c:pt idx="2">
                    <c:v>1997</c:v>
                  </c:pt>
                  <c:pt idx="3">
                    <c:v>1998</c:v>
                  </c:pt>
                  <c:pt idx="4">
                    <c:v>1997</c:v>
                  </c:pt>
                  <c:pt idx="5">
                    <c:v>1998</c:v>
                  </c:pt>
                  <c:pt idx="6">
                    <c:v>1997</c:v>
                  </c:pt>
                  <c:pt idx="7">
                    <c:v>1998</c:v>
                  </c:pt>
                  <c:pt idx="8">
                    <c:v>1997</c:v>
                  </c:pt>
                  <c:pt idx="9">
                    <c:v>1998</c:v>
                  </c:pt>
                  <c:pt idx="10">
                    <c:v>1997</c:v>
                  </c:pt>
                  <c:pt idx="11">
                    <c:v>1996</c:v>
                  </c:pt>
                  <c:pt idx="12">
                    <c:v>1997</c:v>
                  </c:pt>
                  <c:pt idx="13">
                    <c:v>1996</c:v>
                  </c:pt>
                  <c:pt idx="14">
                    <c:v>1997</c:v>
                  </c:pt>
                  <c:pt idx="15">
                    <c:v>1996</c:v>
                  </c:pt>
                  <c:pt idx="16">
                    <c:v>1997</c:v>
                  </c:pt>
                  <c:pt idx="17">
                    <c:v>1996</c:v>
                  </c:pt>
                  <c:pt idx="18">
                    <c:v>1997</c:v>
                  </c:pt>
                  <c:pt idx="19">
                    <c:v>1996</c:v>
                  </c:pt>
                  <c:pt idx="20">
                    <c:v>1997</c:v>
                  </c:pt>
                  <c:pt idx="21">
                    <c:v>1996</c:v>
                  </c:pt>
                  <c:pt idx="22">
                    <c:v>1997</c:v>
                  </c:pt>
                </c:lvl>
                <c:lvl>
                  <c:pt idx="0">
                    <c:v>January</c:v>
                  </c:pt>
                  <c:pt idx="2">
                    <c:v>February</c:v>
                  </c:pt>
                  <c:pt idx="4">
                    <c:v>March</c:v>
                  </c:pt>
                  <c:pt idx="6">
                    <c:v>April</c:v>
                  </c:pt>
                  <c:pt idx="8">
                    <c:v>May</c:v>
                  </c:pt>
                  <c:pt idx="10">
                    <c:v>June</c:v>
                  </c:pt>
                  <c:pt idx="11">
                    <c:v>July</c:v>
                  </c:pt>
                  <c:pt idx="13">
                    <c:v>August</c:v>
                  </c:pt>
                  <c:pt idx="15">
                    <c:v>September</c:v>
                  </c:pt>
                  <c:pt idx="17">
                    <c:v>October</c:v>
                  </c:pt>
                  <c:pt idx="19">
                    <c:v>November</c:v>
                  </c:pt>
                  <c:pt idx="21">
                    <c:v>December</c:v>
                  </c:pt>
                </c:lvl>
              </c:multiLvlStrCache>
            </c:multiLvlStrRef>
          </c:cat>
          <c:val>
            <c:numRef>
              <c:f>Analysis!$I$49:$I$84</c:f>
              <c:numCache>
                <c:formatCode>_("$"* #,##0_);_("$"* \(#,##0\);_("$"* "-"??_);_(@_)</c:formatCode>
                <c:ptCount val="23"/>
                <c:pt idx="0">
                  <c:v>61258.069930300007</c:v>
                </c:pt>
                <c:pt idx="1">
                  <c:v>94222.110384299987</c:v>
                </c:pt>
                <c:pt idx="2">
                  <c:v>38483.634943700003</c:v>
                </c:pt>
                <c:pt idx="3">
                  <c:v>99415.287457800005</c:v>
                </c:pt>
                <c:pt idx="4">
                  <c:v>38547.219968600002</c:v>
                </c:pt>
                <c:pt idx="5">
                  <c:v>104854.15493848998</c:v>
                </c:pt>
                <c:pt idx="6">
                  <c:v>53032.952427099997</c:v>
                </c:pt>
                <c:pt idx="7">
                  <c:v>123798.68242027002</c:v>
                </c:pt>
                <c:pt idx="8">
                  <c:v>53781.289928300001</c:v>
                </c:pt>
                <c:pt idx="9">
                  <c:v>18333.630464900001</c:v>
                </c:pt>
                <c:pt idx="10">
                  <c:v>36362.802447799993</c:v>
                </c:pt>
                <c:pt idx="11">
                  <c:v>27861.894956600001</c:v>
                </c:pt>
                <c:pt idx="12">
                  <c:v>51020.857453730001</c:v>
                </c:pt>
                <c:pt idx="13">
                  <c:v>25485.27498667</c:v>
                </c:pt>
                <c:pt idx="14">
                  <c:v>47287.669947509996</c:v>
                </c:pt>
                <c:pt idx="15">
                  <c:v>26381.399989000001</c:v>
                </c:pt>
                <c:pt idx="16">
                  <c:v>55629.24245559999</c:v>
                </c:pt>
                <c:pt idx="17">
                  <c:v>37515.724912099991</c:v>
                </c:pt>
                <c:pt idx="18">
                  <c:v>66749.225952299996</c:v>
                </c:pt>
                <c:pt idx="19">
                  <c:v>45600.044943099994</c:v>
                </c:pt>
                <c:pt idx="20">
                  <c:v>43533.808968899997</c:v>
                </c:pt>
                <c:pt idx="21">
                  <c:v>45239.629965330001</c:v>
                </c:pt>
                <c:pt idx="22">
                  <c:v>71398.428448000006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BF75-491D-A8EA-CF5E4F17DB5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809563408"/>
        <c:axId val="809564368"/>
      </c:lineChart>
      <c:catAx>
        <c:axId val="809563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57D7E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564368"/>
        <c:crosses val="autoZero"/>
        <c:auto val="1"/>
        <c:lblAlgn val="ctr"/>
        <c:lblOffset val="100"/>
        <c:noMultiLvlLbl val="0"/>
      </c:catAx>
      <c:valAx>
        <c:axId val="809564368"/>
        <c:scaling>
          <c:orientation val="minMax"/>
        </c:scaling>
        <c:delete val="0"/>
        <c:axPos val="l"/>
        <c:numFmt formatCode="#,\ 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57D7E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563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11C1F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rgbClr val="657D7E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[Hussein Hany Hussein.xlsx]Analysis!PivotTable3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57B1A1"/>
                </a:solidFill>
              </a:rPr>
              <a:t>Sales By Company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57B1A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7B1A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7B1A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Analysis!$J$2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7B1A1"/>
            </a:solidFill>
            <a:ln>
              <a:noFill/>
            </a:ln>
            <a:effectLst/>
          </c:spPr>
          <c:invertIfNegative val="0"/>
          <c:cat>
            <c:strRef>
              <c:f>Analysis!$I$3:$I$13</c:f>
              <c:strCache>
                <c:ptCount val="10"/>
                <c:pt idx="0">
                  <c:v>Ernst Handel</c:v>
                </c:pt>
                <c:pt idx="1">
                  <c:v>Folk Och Fä Hb</c:v>
                </c:pt>
                <c:pt idx="2">
                  <c:v>Hanari Carnes</c:v>
                </c:pt>
                <c:pt idx="3">
                  <c:v>Hungry Owl All-Night Grocers</c:v>
                </c:pt>
                <c:pt idx="4">
                  <c:v>Königlich Essen</c:v>
                </c:pt>
                <c:pt idx="5">
                  <c:v>Mère Paillarde</c:v>
                </c:pt>
                <c:pt idx="6">
                  <c:v>Quick-Stop</c:v>
                </c:pt>
                <c:pt idx="7">
                  <c:v>Rattlesnake Canyon Grocery</c:v>
                </c:pt>
                <c:pt idx="8">
                  <c:v>Save-A-Lot Markets</c:v>
                </c:pt>
                <c:pt idx="9">
                  <c:v>White Clover Markets</c:v>
                </c:pt>
              </c:strCache>
            </c:strRef>
          </c:cat>
          <c:val>
            <c:numRef>
              <c:f>Analysis!$J$3:$J$13</c:f>
              <c:numCache>
                <c:formatCode>_("$"* #,##0_);_("$"* \(#,##0\);_("$"* "-"??_);_(@_)</c:formatCode>
                <c:ptCount val="10"/>
                <c:pt idx="0">
                  <c:v>104874.9783531</c:v>
                </c:pt>
                <c:pt idx="1">
                  <c:v>29567.562475100007</c:v>
                </c:pt>
                <c:pt idx="2">
                  <c:v>32841.369978700001</c:v>
                </c:pt>
                <c:pt idx="3">
                  <c:v>49979.904945899994</c:v>
                </c:pt>
                <c:pt idx="4">
                  <c:v>30908.383970399998</c:v>
                </c:pt>
                <c:pt idx="5">
                  <c:v>28872.189949600001</c:v>
                </c:pt>
                <c:pt idx="6">
                  <c:v>110277.30488570001</c:v>
                </c:pt>
                <c:pt idx="7">
                  <c:v>51097.800488100002</c:v>
                </c:pt>
                <c:pt idx="8">
                  <c:v>104361.94986920002</c:v>
                </c:pt>
                <c:pt idx="9">
                  <c:v>27363.6049733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CE-49D5-9E57-40309D609E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4267520"/>
        <c:axId val="694268480"/>
      </c:barChart>
      <c:catAx>
        <c:axId val="694267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7B1A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268480"/>
        <c:crosses val="autoZero"/>
        <c:auto val="1"/>
        <c:lblAlgn val="ctr"/>
        <c:lblOffset val="100"/>
        <c:noMultiLvlLbl val="0"/>
      </c:catAx>
      <c:valAx>
        <c:axId val="694268480"/>
        <c:scaling>
          <c:orientation val="minMax"/>
        </c:scaling>
        <c:delete val="0"/>
        <c:axPos val="l"/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7B1A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267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11C1F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6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Sales</a:t>
            </a:r>
            <a:r>
              <a:rPr lang="en-US" baseline="0"/>
              <a:t> Over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6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Analysis!$B$47</c:f>
              <c:strCache>
                <c:ptCount val="1"/>
                <c:pt idx="0">
                  <c:v>Eastern</c:v>
                </c:pt>
              </c:strCache>
            </c:strRef>
          </c:tx>
          <c:spPr>
            <a:solidFill>
              <a:schemeClr val="tx2">
                <a:lumMod val="90000"/>
                <a:lumOff val="10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Analysis!$A$48:$A$57</c:f>
              <c:strCache>
                <c:ptCount val="10"/>
                <c:pt idx="0">
                  <c:v>Ernst Handel</c:v>
                </c:pt>
                <c:pt idx="1">
                  <c:v>Folk Och Fä Hb</c:v>
                </c:pt>
                <c:pt idx="2">
                  <c:v>Hanari Carnes</c:v>
                </c:pt>
                <c:pt idx="3">
                  <c:v>Hungry Owl All-Night Grocers</c:v>
                </c:pt>
                <c:pt idx="4">
                  <c:v>Königlich Essen</c:v>
                </c:pt>
                <c:pt idx="5">
                  <c:v>Mère Paillarde</c:v>
                </c:pt>
                <c:pt idx="6">
                  <c:v>Quick-Stop</c:v>
                </c:pt>
                <c:pt idx="7">
                  <c:v>Rattlesnake Canyon Grocery</c:v>
                </c:pt>
                <c:pt idx="8">
                  <c:v>Save-A-Lot Markets</c:v>
                </c:pt>
                <c:pt idx="9">
                  <c:v>White Clover Markets</c:v>
                </c:pt>
              </c:strCache>
            </c:strRef>
          </c:cat>
          <c:val>
            <c:numRef>
              <c:f>Analysis!$B$48:$B$57</c:f>
              <c:numCache>
                <c:formatCode>0</c:formatCode>
                <c:ptCount val="10"/>
                <c:pt idx="0">
                  <c:v>45099.568432999993</c:v>
                </c:pt>
                <c:pt idx="1">
                  <c:v>9506.8799859999999</c:v>
                </c:pt>
                <c:pt idx="2">
                  <c:v>27019.119986999998</c:v>
                </c:pt>
                <c:pt idx="3">
                  <c:v>14490.379980000002</c:v>
                </c:pt>
                <c:pt idx="4">
                  <c:v>10241.1099994</c:v>
                </c:pt>
                <c:pt idx="5">
                  <c:v>11661.1999937</c:v>
                </c:pt>
                <c:pt idx="6">
                  <c:v>66224.1098967</c:v>
                </c:pt>
                <c:pt idx="7">
                  <c:v>17864.520493699998</c:v>
                </c:pt>
                <c:pt idx="8">
                  <c:v>53983.844925199992</c:v>
                </c:pt>
                <c:pt idx="9">
                  <c:v>19125.274987800003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EC-4917-8901-866C58E80718}"/>
            </c:ext>
          </c:extLst>
        </c:ser>
        <c:ser>
          <c:idx val="1"/>
          <c:order val="1"/>
          <c:tx>
            <c:strRef>
              <c:f>Analysis!$C$47</c:f>
              <c:strCache>
                <c:ptCount val="1"/>
                <c:pt idx="0">
                  <c:v>Northern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Analysis!$A$48:$A$57</c:f>
              <c:strCache>
                <c:ptCount val="10"/>
                <c:pt idx="0">
                  <c:v>Ernst Handel</c:v>
                </c:pt>
                <c:pt idx="1">
                  <c:v>Folk Och Fä Hb</c:v>
                </c:pt>
                <c:pt idx="2">
                  <c:v>Hanari Carnes</c:v>
                </c:pt>
                <c:pt idx="3">
                  <c:v>Hungry Owl All-Night Grocers</c:v>
                </c:pt>
                <c:pt idx="4">
                  <c:v>Königlich Essen</c:v>
                </c:pt>
                <c:pt idx="5">
                  <c:v>Mère Paillarde</c:v>
                </c:pt>
                <c:pt idx="6">
                  <c:v>Quick-Stop</c:v>
                </c:pt>
                <c:pt idx="7">
                  <c:v>Rattlesnake Canyon Grocery</c:v>
                </c:pt>
                <c:pt idx="8">
                  <c:v>Save-A-Lot Markets</c:v>
                </c:pt>
                <c:pt idx="9">
                  <c:v>White Clover Markets</c:v>
                </c:pt>
              </c:strCache>
            </c:strRef>
          </c:cat>
          <c:val>
            <c:numRef>
              <c:f>Analysis!$C$48:$C$57</c:f>
              <c:numCache>
                <c:formatCode>0</c:formatCode>
                <c:ptCount val="10"/>
                <c:pt idx="0">
                  <c:v>19203.3874961</c:v>
                </c:pt>
                <c:pt idx="1">
                  <c:v>5766.4999976999998</c:v>
                </c:pt>
                <c:pt idx="2">
                  <c:v>1638.25</c:v>
                </c:pt>
                <c:pt idx="3">
                  <c:v>8717.7199980000005</c:v>
                </c:pt>
                <c:pt idx="4">
                  <c:v>8996.8289909999985</c:v>
                </c:pt>
                <c:pt idx="5">
                  <c:v>1278.3999988999999</c:v>
                </c:pt>
                <c:pt idx="6">
                  <c:v>19767.499995999999</c:v>
                </c:pt>
                <c:pt idx="7">
                  <c:v>14947.999999399999</c:v>
                </c:pt>
                <c:pt idx="8">
                  <c:v>11532.964961</c:v>
                </c:pt>
                <c:pt idx="9">
                  <c:v>2176.8799959999997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EC-4917-8901-866C58E80718}"/>
            </c:ext>
          </c:extLst>
        </c:ser>
        <c:ser>
          <c:idx val="2"/>
          <c:order val="2"/>
          <c:tx>
            <c:strRef>
              <c:f>Analysis!$D$47</c:f>
              <c:strCache>
                <c:ptCount val="1"/>
                <c:pt idx="0">
                  <c:v>Southern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Analysis!$A$48:$A$57</c:f>
              <c:strCache>
                <c:ptCount val="10"/>
                <c:pt idx="0">
                  <c:v>Ernst Handel</c:v>
                </c:pt>
                <c:pt idx="1">
                  <c:v>Folk Och Fä Hb</c:v>
                </c:pt>
                <c:pt idx="2">
                  <c:v>Hanari Carnes</c:v>
                </c:pt>
                <c:pt idx="3">
                  <c:v>Hungry Owl All-Night Grocers</c:v>
                </c:pt>
                <c:pt idx="4">
                  <c:v>Königlich Essen</c:v>
                </c:pt>
                <c:pt idx="5">
                  <c:v>Mère Paillarde</c:v>
                </c:pt>
                <c:pt idx="6">
                  <c:v>Quick-Stop</c:v>
                </c:pt>
                <c:pt idx="7">
                  <c:v>Rattlesnake Canyon Grocery</c:v>
                </c:pt>
                <c:pt idx="8">
                  <c:v>Save-A-Lot Markets</c:v>
                </c:pt>
                <c:pt idx="9">
                  <c:v>White Clover Markets</c:v>
                </c:pt>
              </c:strCache>
            </c:strRef>
          </c:cat>
          <c:val>
            <c:numRef>
              <c:f>Analysis!$D$48:$D$57</c:f>
              <c:numCache>
                <c:formatCode>0</c:formatCode>
                <c:ptCount val="10"/>
                <c:pt idx="0">
                  <c:v>19761.349978999999</c:v>
                </c:pt>
                <c:pt idx="1">
                  <c:v>4658.1199985000003</c:v>
                </c:pt>
                <c:pt idx="2">
                  <c:v>4183.9999916999996</c:v>
                </c:pt>
                <c:pt idx="3">
                  <c:v>16615.044997999998</c:v>
                </c:pt>
                <c:pt idx="4">
                  <c:v>11670.44498</c:v>
                </c:pt>
                <c:pt idx="5">
                  <c:v>5660.0299909999994</c:v>
                </c:pt>
                <c:pt idx="6">
                  <c:v>22782.694994999998</c:v>
                </c:pt>
                <c:pt idx="7">
                  <c:v>16829.279995000001</c:v>
                </c:pt>
                <c:pt idx="8">
                  <c:v>3834.3999940000003</c:v>
                </c:pt>
                <c:pt idx="9">
                  <c:v>4463.8999899999999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EC-4917-8901-866C58E80718}"/>
            </c:ext>
          </c:extLst>
        </c:ser>
        <c:ser>
          <c:idx val="3"/>
          <c:order val="3"/>
          <c:tx>
            <c:strRef>
              <c:f>Analysis!$E$47</c:f>
              <c:strCache>
                <c:ptCount val="1"/>
                <c:pt idx="0">
                  <c:v>Western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Analysis!$A$48:$A$57</c:f>
              <c:strCache>
                <c:ptCount val="10"/>
                <c:pt idx="0">
                  <c:v>Ernst Handel</c:v>
                </c:pt>
                <c:pt idx="1">
                  <c:v>Folk Och Fä Hb</c:v>
                </c:pt>
                <c:pt idx="2">
                  <c:v>Hanari Carnes</c:v>
                </c:pt>
                <c:pt idx="3">
                  <c:v>Hungry Owl All-Night Grocers</c:v>
                </c:pt>
                <c:pt idx="4">
                  <c:v>Königlich Essen</c:v>
                </c:pt>
                <c:pt idx="5">
                  <c:v>Mère Paillarde</c:v>
                </c:pt>
                <c:pt idx="6">
                  <c:v>Quick-Stop</c:v>
                </c:pt>
                <c:pt idx="7">
                  <c:v>Rattlesnake Canyon Grocery</c:v>
                </c:pt>
                <c:pt idx="8">
                  <c:v>Save-A-Lot Markets</c:v>
                </c:pt>
                <c:pt idx="9">
                  <c:v>White Clover Markets</c:v>
                </c:pt>
              </c:strCache>
            </c:strRef>
          </c:cat>
          <c:val>
            <c:numRef>
              <c:f>Analysis!$E$48:$E$57</c:f>
              <c:numCache>
                <c:formatCode>0</c:formatCode>
                <c:ptCount val="10"/>
                <c:pt idx="0">
                  <c:v>20810.672445</c:v>
                </c:pt>
                <c:pt idx="1">
                  <c:v>9636.0624929000005</c:v>
                </c:pt>
                <c:pt idx="3">
                  <c:v>10156.7599699</c:v>
                </c:pt>
                <c:pt idx="5">
                  <c:v>10272.559966000001</c:v>
                </c:pt>
                <c:pt idx="6">
                  <c:v>1502.999998</c:v>
                </c:pt>
                <c:pt idx="7">
                  <c:v>1456</c:v>
                </c:pt>
                <c:pt idx="8">
                  <c:v>35010.739989000002</c:v>
                </c:pt>
                <c:pt idx="9">
                  <c:v>1597.5499995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AEC-4917-8901-866C58E807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2989680"/>
        <c:axId val="2052986320"/>
      </c:barChart>
      <c:catAx>
        <c:axId val="2052989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6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986320"/>
        <c:crosses val="autoZero"/>
        <c:auto val="1"/>
        <c:lblAlgn val="ctr"/>
        <c:lblOffset val="100"/>
        <c:noMultiLvlLbl val="0"/>
      </c:catAx>
      <c:valAx>
        <c:axId val="2052986320"/>
        <c:scaling>
          <c:orientation val="minMax"/>
        </c:scaling>
        <c:delete val="0"/>
        <c:axPos val="l"/>
        <c:numFmt formatCode="#,\ 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6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989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accent6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011C1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[Hussein Hany Hussein.xlsx]Analysis!PivotTable4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accent6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>
                <a:solidFill>
                  <a:schemeClr val="accent6">
                    <a:lumMod val="20000"/>
                    <a:lumOff val="80000"/>
                  </a:schemeClr>
                </a:solidFill>
              </a:rPr>
              <a:t>Total Quantaties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accent6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>
              <a:lumMod val="25000"/>
              <a:lumOff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accent6">
                      <a:lumMod val="20000"/>
                      <a:lumOff val="8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Analysis!$M$2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25000"/>
                <a:lumOff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accent6">
                        <a:lumMod val="20000"/>
                        <a:lumOff val="8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Analysis!$L$3:$L$13</c:f>
              <c:strCache>
                <c:ptCount val="10"/>
                <c:pt idx="0">
                  <c:v>Ernst Handel</c:v>
                </c:pt>
                <c:pt idx="1">
                  <c:v>Folk Och Fä Hb</c:v>
                </c:pt>
                <c:pt idx="2">
                  <c:v>Frankenversand</c:v>
                </c:pt>
                <c:pt idx="3">
                  <c:v>Hilarion-Abastos</c:v>
                </c:pt>
                <c:pt idx="4">
                  <c:v>Hungry Owl All-Night Grocers</c:v>
                </c:pt>
                <c:pt idx="5">
                  <c:v>Quick-Stop</c:v>
                </c:pt>
                <c:pt idx="6">
                  <c:v>Rattlesnake Canyon Grocery</c:v>
                </c:pt>
                <c:pt idx="7">
                  <c:v>Save-A-Lot Markets</c:v>
                </c:pt>
                <c:pt idx="8">
                  <c:v>Suprêmes Délices</c:v>
                </c:pt>
                <c:pt idx="9">
                  <c:v>White Clover Markets</c:v>
                </c:pt>
              </c:strCache>
            </c:strRef>
          </c:cat>
          <c:val>
            <c:numRef>
              <c:f>Analysis!$M$3:$M$13</c:f>
              <c:numCache>
                <c:formatCode>General</c:formatCode>
                <c:ptCount val="10"/>
                <c:pt idx="0">
                  <c:v>4543</c:v>
                </c:pt>
                <c:pt idx="1">
                  <c:v>1234</c:v>
                </c:pt>
                <c:pt idx="2">
                  <c:v>1525</c:v>
                </c:pt>
                <c:pt idx="3">
                  <c:v>1096</c:v>
                </c:pt>
                <c:pt idx="4">
                  <c:v>1684</c:v>
                </c:pt>
                <c:pt idx="5">
                  <c:v>3961</c:v>
                </c:pt>
                <c:pt idx="6">
                  <c:v>1383</c:v>
                </c:pt>
                <c:pt idx="7">
                  <c:v>4958</c:v>
                </c:pt>
                <c:pt idx="8">
                  <c:v>1072</c:v>
                </c:pt>
                <c:pt idx="9">
                  <c:v>1063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15-4398-AC79-0DD3C15C37D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36498992"/>
        <c:axId val="836515792"/>
      </c:barChart>
      <c:catAx>
        <c:axId val="836498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accent6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515792"/>
        <c:crosses val="autoZero"/>
        <c:auto val="1"/>
        <c:lblAlgn val="ctr"/>
        <c:lblOffset val="100"/>
        <c:noMultiLvlLbl val="0"/>
      </c:catAx>
      <c:valAx>
        <c:axId val="83651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6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498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22379F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[Hussein Hany Hussein.xlsx]Analysis!PivotTable2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accent6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>
                <a:solidFill>
                  <a:schemeClr val="accent6">
                    <a:lumMod val="20000"/>
                    <a:lumOff val="80000"/>
                  </a:schemeClr>
                </a:solidFill>
              </a:rPr>
              <a:t>Total</a:t>
            </a:r>
            <a:r>
              <a:rPr lang="en-US" sz="2000" baseline="0">
                <a:solidFill>
                  <a:schemeClr val="accent6">
                    <a:lumMod val="20000"/>
                    <a:lumOff val="80000"/>
                  </a:schemeClr>
                </a:solidFill>
              </a:rPr>
              <a:t> Quantities</a:t>
            </a:r>
            <a:endParaRPr lang="en-US" sz="2000">
              <a:solidFill>
                <a:schemeClr val="accent6">
                  <a:lumMod val="20000"/>
                  <a:lumOff val="8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accent6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accent6">
                      <a:lumMod val="20000"/>
                      <a:lumOff val="8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Analysis!$F$2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accent6">
                        <a:lumMod val="20000"/>
                        <a:lumOff val="8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Analysis!$E$3:$E$12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strCache>
            </c:strRef>
          </c:cat>
          <c:val>
            <c:numRef>
              <c:f>Analysis!$F$3:$F$12</c:f>
              <c:numCache>
                <c:formatCode>_(* #,##0_);_(* \(#,##0\);_(* "-"??_);_(@_)</c:formatCode>
                <c:ptCount val="9"/>
                <c:pt idx="0">
                  <c:v>7812</c:v>
                </c:pt>
                <c:pt idx="1">
                  <c:v>6055</c:v>
                </c:pt>
                <c:pt idx="2">
                  <c:v>7852</c:v>
                </c:pt>
                <c:pt idx="3">
                  <c:v>9798</c:v>
                </c:pt>
                <c:pt idx="4">
                  <c:v>3036</c:v>
                </c:pt>
                <c:pt idx="5">
                  <c:v>3527</c:v>
                </c:pt>
                <c:pt idx="6">
                  <c:v>4654</c:v>
                </c:pt>
                <c:pt idx="7">
                  <c:v>5913</c:v>
                </c:pt>
                <c:pt idx="8">
                  <c:v>2670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C1-4A07-9521-2D08F5EB170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21256176"/>
        <c:axId val="821272976"/>
      </c:barChart>
      <c:catAx>
        <c:axId val="821256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6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272976"/>
        <c:crosses val="autoZero"/>
        <c:auto val="1"/>
        <c:lblAlgn val="ctr"/>
        <c:lblOffset val="100"/>
        <c:noMultiLvlLbl val="0"/>
      </c:catAx>
      <c:valAx>
        <c:axId val="821272976"/>
        <c:scaling>
          <c:orientation val="minMax"/>
        </c:scaling>
        <c:delete val="0"/>
        <c:axPos val="l"/>
        <c:numFmt formatCode="#,\ 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accent6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256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22379F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[Hussein Hany Hussein.xlsx]Analysis!PivotTable8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6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>
                <a:solidFill>
                  <a:schemeClr val="accent6">
                    <a:lumMod val="20000"/>
                    <a:lumOff val="80000"/>
                  </a:schemeClr>
                </a:solidFill>
              </a:rPr>
              <a:t>Quantities Over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6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6">
                      <a:lumMod val="20000"/>
                      <a:lumOff val="8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6">
                      <a:lumMod val="20000"/>
                      <a:lumOff val="8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6">
                      <a:lumMod val="20000"/>
                      <a:lumOff val="8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6">
                      <a:lumMod val="20000"/>
                      <a:lumOff val="8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4.1319253918358494E-2"/>
              <c:y val="-0.1450136305629166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6">
                      <a:lumMod val="20000"/>
                      <a:lumOff val="8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1.4183783648936073E-2"/>
              <c:y val="-0.1870556825460931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6">
                      <a:lumMod val="20000"/>
                      <a:lumOff val="8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2.4935297004339548E-4"/>
              <c:y val="-0.1450136305629166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6">
                      <a:lumMod val="20000"/>
                      <a:lumOff val="8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1.7117348002387043E-2"/>
              <c:y val="-0.1492178357612343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6">
                      <a:lumMod val="20000"/>
                      <a:lumOff val="8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7.0845579135843549E-3"/>
              <c:y val="-7.354214219151651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6">
                      <a:lumMod val="20000"/>
                      <a:lumOff val="8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3.4718734123093516E-2"/>
              <c:y val="-9.035896298478707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6">
                      <a:lumMod val="20000"/>
                      <a:lumOff val="8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8.5513400903098943E-3"/>
              <c:y val="-0.1197883993730106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6">
                      <a:lumMod val="20000"/>
                      <a:lumOff val="8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3.0846429176538199E-2"/>
              <c:y val="-3.570429540665753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6">
                      <a:lumMod val="20000"/>
                      <a:lumOff val="8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1.1250219295484941E-2"/>
              <c:y val="-0.1239926045713283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6">
                      <a:lumMod val="20000"/>
                      <a:lumOff val="8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3.4176024717704526E-3"/>
              <c:y val="-5.252111619992816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6">
                      <a:lumMod val="20000"/>
                      <a:lumOff val="8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1.1484904443760919E-2"/>
              <c:y val="1.474616697315432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6">
                      <a:lumMod val="20000"/>
                      <a:lumOff val="8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1.4917174737298788E-2"/>
              <c:y val="-1.888747461338691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6">
                      <a:lumMod val="20000"/>
                      <a:lumOff val="8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2.6651432151103049E-2"/>
              <c:y val="-9.035896298478707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6">
                      <a:lumMod val="20000"/>
                      <a:lumOff val="8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1.1250219295484887E-2"/>
              <c:y val="-0.1324010149679636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6">
                      <a:lumMod val="20000"/>
                      <a:lumOff val="8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3.1051778681279694E-2"/>
              <c:y val="-0.2290977345292697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6">
                      <a:lumMod val="20000"/>
                      <a:lumOff val="8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7.8179490019470981E-3"/>
              <c:y val="-0.2669355813141285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6">
                      <a:lumMod val="20000"/>
                      <a:lumOff val="8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9.7834371187593468E-3"/>
              <c:y val="-0.199668298141046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6">
                      <a:lumMod val="20000"/>
                      <a:lumOff val="8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1.7352033150663131E-2"/>
              <c:y val="-5.67253213982458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6">
                      <a:lumMod val="20000"/>
                      <a:lumOff val="8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2.151769453256366E-2"/>
              <c:y val="-0.170238861752822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6">
                      <a:lumMod val="20000"/>
                      <a:lumOff val="8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3.6918907388181821E-2"/>
              <c:y val="-3.150009020833980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6">
                      <a:lumMod val="20000"/>
                      <a:lumOff val="8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3.1829173234944204E-3"/>
              <c:y val="-8.615475778646941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6">
                      <a:lumMod val="20000"/>
                      <a:lumOff val="8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5.6177757368588172E-3"/>
              <c:y val="-5.462321879908699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accent6">
                      <a:lumMod val="20000"/>
                      <a:lumOff val="8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2.0300265325881466E-2"/>
                  <c:h val="5.4591770020044457E-2"/>
                </c:manualLayout>
              </c15:layout>
            </c:ext>
          </c:extLst>
        </c:dLbl>
      </c:pivotFmt>
      <c:pivotFmt>
        <c:idx val="3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9.284731178672772E-3"/>
              <c:y val="-0.1786472721494577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6">
                      <a:lumMod val="20000"/>
                      <a:lumOff val="8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1.4183783648935966E-2"/>
              <c:y val="-0.1996682981410461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6">
                      <a:lumMod val="20000"/>
                      <a:lumOff val="8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7.5832638536710382E-3"/>
              <c:y val="-0.2206893241326343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6">
                      <a:lumMod val="20000"/>
                      <a:lumOff val="8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1.0956862860139886E-2"/>
              <c:y val="-4.831691100161050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6">
                      <a:lumMod val="20000"/>
                      <a:lumOff val="8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5704722426487362E-2"/>
          <c:y val="0.17645049217339201"/>
          <c:w val="0.91728139661686114"/>
          <c:h val="0.72635556651665045"/>
        </c:manualLayout>
      </c:layout>
      <c:lineChart>
        <c:grouping val="standard"/>
        <c:varyColors val="0"/>
        <c:ser>
          <c:idx val="0"/>
          <c:order val="0"/>
          <c:tx>
            <c:strRef>
              <c:f>Analysis!$I$33:$I$34</c:f>
              <c:strCache>
                <c:ptCount val="1"/>
                <c:pt idx="0">
                  <c:v>Eastern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2-E956-45A9-905B-0F0480C7D20B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E956-45A9-905B-0F0480C7D20B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E956-45A9-905B-0F0480C7D20B}"/>
              </c:ext>
            </c:extLst>
          </c:dPt>
          <c:dPt>
            <c:idx val="9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E956-45A9-905B-0F0480C7D20B}"/>
              </c:ext>
            </c:extLst>
          </c:dPt>
          <c:dLbls>
            <c:dLbl>
              <c:idx val="1"/>
              <c:layout>
                <c:manualLayout>
                  <c:x val="-3.1051778681279694E-2"/>
                  <c:y val="-0.2290977345292697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E956-45A9-905B-0F0480C7D20B}"/>
                </c:ext>
              </c:extLst>
            </c:dLbl>
            <c:dLbl>
              <c:idx val="3"/>
              <c:layout>
                <c:manualLayout>
                  <c:x val="3.4176024717704526E-3"/>
                  <c:y val="-5.252111619992816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956-45A9-905B-0F0480C7D20B}"/>
                </c:ext>
              </c:extLst>
            </c:dLbl>
            <c:dLbl>
              <c:idx val="4"/>
              <c:layout>
                <c:manualLayout>
                  <c:x val="-1.4183783648936073E-2"/>
                  <c:y val="-0.1870556825460931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956-45A9-905B-0F0480C7D20B}"/>
                </c:ext>
              </c:extLst>
            </c:dLbl>
            <c:dLbl>
              <c:idx val="9"/>
              <c:layout>
                <c:manualLayout>
                  <c:x val="-1.4183783648935966E-2"/>
                  <c:y val="-0.1996682981410461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E956-45A9-905B-0F0480C7D2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6">
                        <a:lumMod val="20000"/>
                        <a:lumOff val="8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Analysis!$H$35:$H$45</c:f>
              <c:strCache>
                <c:ptCount val="10"/>
                <c:pt idx="0">
                  <c:v>Ernst Handel</c:v>
                </c:pt>
                <c:pt idx="1">
                  <c:v>Folk Och Fä Hb</c:v>
                </c:pt>
                <c:pt idx="2">
                  <c:v>Frankenversand</c:v>
                </c:pt>
                <c:pt idx="3">
                  <c:v>Hilarion-Abastos</c:v>
                </c:pt>
                <c:pt idx="4">
                  <c:v>Hungry Owl All-Night Grocers</c:v>
                </c:pt>
                <c:pt idx="5">
                  <c:v>Quick-Stop</c:v>
                </c:pt>
                <c:pt idx="6">
                  <c:v>Rattlesnake Canyon Grocery</c:v>
                </c:pt>
                <c:pt idx="7">
                  <c:v>Save-A-Lot Markets</c:v>
                </c:pt>
                <c:pt idx="8">
                  <c:v>Suprêmes Délices</c:v>
                </c:pt>
                <c:pt idx="9">
                  <c:v>White Clover Markets</c:v>
                </c:pt>
              </c:strCache>
            </c:strRef>
          </c:cat>
          <c:val>
            <c:numRef>
              <c:f>Analysis!$I$35:$I$45</c:f>
              <c:numCache>
                <c:formatCode>General</c:formatCode>
                <c:ptCount val="10"/>
                <c:pt idx="0">
                  <c:v>1898</c:v>
                </c:pt>
                <c:pt idx="1">
                  <c:v>450</c:v>
                </c:pt>
                <c:pt idx="2">
                  <c:v>1188</c:v>
                </c:pt>
                <c:pt idx="3">
                  <c:v>410</c:v>
                </c:pt>
                <c:pt idx="4">
                  <c:v>537</c:v>
                </c:pt>
                <c:pt idx="5">
                  <c:v>2351</c:v>
                </c:pt>
                <c:pt idx="6">
                  <c:v>799</c:v>
                </c:pt>
                <c:pt idx="7">
                  <c:v>2808</c:v>
                </c:pt>
                <c:pt idx="8">
                  <c:v>703</c:v>
                </c:pt>
                <c:pt idx="9">
                  <c:v>645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56-45A9-905B-0F0480C7D20B}"/>
            </c:ext>
          </c:extLst>
        </c:ser>
        <c:ser>
          <c:idx val="1"/>
          <c:order val="1"/>
          <c:tx>
            <c:strRef>
              <c:f>Analysis!$J$33:$J$34</c:f>
              <c:strCache>
                <c:ptCount val="1"/>
                <c:pt idx="0">
                  <c:v>Northern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8-E956-45A9-905B-0F0480C7D20B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4-E956-45A9-905B-0F0480C7D20B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E956-45A9-905B-0F0480C7D20B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E956-45A9-905B-0F0480C7D20B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E956-45A9-905B-0F0480C7D20B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E956-45A9-905B-0F0480C7D20B}"/>
              </c:ext>
            </c:extLst>
          </c:dPt>
          <c:dPt>
            <c:idx val="9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E956-45A9-905B-0F0480C7D20B}"/>
              </c:ext>
            </c:extLst>
          </c:dPt>
          <c:dLbls>
            <c:dLbl>
              <c:idx val="0"/>
              <c:layout>
                <c:manualLayout>
                  <c:x val="-3.1829173234944204E-3"/>
                  <c:y val="-8.61547577864694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E956-45A9-905B-0F0480C7D20B}"/>
                </c:ext>
              </c:extLst>
            </c:dLbl>
            <c:dLbl>
              <c:idx val="1"/>
              <c:layout>
                <c:manualLayout>
                  <c:x val="-9.7834371187593468E-3"/>
                  <c:y val="-0.199668298141046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E956-45A9-905B-0F0480C7D20B}"/>
                </c:ext>
              </c:extLst>
            </c:dLbl>
            <c:dLbl>
              <c:idx val="2"/>
              <c:layout>
                <c:manualLayout>
                  <c:x val="-1.1250219295484887E-2"/>
                  <c:y val="-0.1324010149679636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E956-45A9-905B-0F0480C7D20B}"/>
                </c:ext>
              </c:extLst>
            </c:dLbl>
            <c:dLbl>
              <c:idx val="3"/>
              <c:layout>
                <c:manualLayout>
                  <c:x val="-1.4917174737298788E-2"/>
                  <c:y val="-1.88874746133869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E956-45A9-905B-0F0480C7D20B}"/>
                </c:ext>
              </c:extLst>
            </c:dLbl>
            <c:dLbl>
              <c:idx val="5"/>
              <c:layout>
                <c:manualLayout>
                  <c:x val="-1.7117348002387043E-2"/>
                  <c:y val="-0.1492178357612343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956-45A9-905B-0F0480C7D20B}"/>
                </c:ext>
              </c:extLst>
            </c:dLbl>
            <c:dLbl>
              <c:idx val="6"/>
              <c:layout>
                <c:manualLayout>
                  <c:x val="8.5513400903098943E-3"/>
                  <c:y val="-0.1197883993730106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956-45A9-905B-0F0480C7D20B}"/>
                </c:ext>
              </c:extLst>
            </c:dLbl>
            <c:dLbl>
              <c:idx val="9"/>
              <c:layout>
                <c:manualLayout>
                  <c:x val="1.0956862860139886E-2"/>
                  <c:y val="-4.83169110016105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E956-45A9-905B-0F0480C7D2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6">
                        <a:lumMod val="20000"/>
                        <a:lumOff val="8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Analysis!$H$35:$H$45</c:f>
              <c:strCache>
                <c:ptCount val="10"/>
                <c:pt idx="0">
                  <c:v>Ernst Handel</c:v>
                </c:pt>
                <c:pt idx="1">
                  <c:v>Folk Och Fä Hb</c:v>
                </c:pt>
                <c:pt idx="2">
                  <c:v>Frankenversand</c:v>
                </c:pt>
                <c:pt idx="3">
                  <c:v>Hilarion-Abastos</c:v>
                </c:pt>
                <c:pt idx="4">
                  <c:v>Hungry Owl All-Night Grocers</c:v>
                </c:pt>
                <c:pt idx="5">
                  <c:v>Quick-Stop</c:v>
                </c:pt>
                <c:pt idx="6">
                  <c:v>Rattlesnake Canyon Grocery</c:v>
                </c:pt>
                <c:pt idx="7">
                  <c:v>Save-A-Lot Markets</c:v>
                </c:pt>
                <c:pt idx="8">
                  <c:v>Suprêmes Délices</c:v>
                </c:pt>
                <c:pt idx="9">
                  <c:v>White Clover Markets</c:v>
                </c:pt>
              </c:strCache>
            </c:strRef>
          </c:cat>
          <c:val>
            <c:numRef>
              <c:f>Analysis!$J$35:$J$45</c:f>
              <c:numCache>
                <c:formatCode>General</c:formatCode>
                <c:ptCount val="10"/>
                <c:pt idx="0">
                  <c:v>836</c:v>
                </c:pt>
                <c:pt idx="1">
                  <c:v>296</c:v>
                </c:pt>
                <c:pt idx="2">
                  <c:v>179</c:v>
                </c:pt>
                <c:pt idx="3">
                  <c:v>165</c:v>
                </c:pt>
                <c:pt idx="4">
                  <c:v>298</c:v>
                </c:pt>
                <c:pt idx="5">
                  <c:v>837</c:v>
                </c:pt>
                <c:pt idx="6">
                  <c:v>180</c:v>
                </c:pt>
                <c:pt idx="7">
                  <c:v>619</c:v>
                </c:pt>
                <c:pt idx="8">
                  <c:v>137</c:v>
                </c:pt>
                <c:pt idx="9">
                  <c:v>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56-45A9-905B-0F0480C7D20B}"/>
            </c:ext>
          </c:extLst>
        </c:ser>
        <c:ser>
          <c:idx val="2"/>
          <c:order val="2"/>
          <c:tx>
            <c:strRef>
              <c:f>Analysis!$K$33:$K$34</c:f>
              <c:strCache>
                <c:ptCount val="1"/>
                <c:pt idx="0">
                  <c:v>Southern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7-E956-45A9-905B-0F0480C7D20B}"/>
              </c:ext>
            </c:extLst>
          </c:dPt>
          <c:dPt>
            <c:idx val="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5-E956-45A9-905B-0F0480C7D20B}"/>
              </c:ext>
            </c:extLst>
          </c:dPt>
          <c:dPt>
            <c:idx val="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E-E956-45A9-905B-0F0480C7D20B}"/>
              </c:ext>
            </c:extLst>
          </c:dPt>
          <c:dPt>
            <c:idx val="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6-E956-45A9-905B-0F0480C7D20B}"/>
              </c:ext>
            </c:extLst>
          </c:dPt>
          <c:dPt>
            <c:idx val="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8-E956-45A9-905B-0F0480C7D20B}"/>
              </c:ext>
            </c:extLst>
          </c:dPt>
          <c:dPt>
            <c:idx val="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9-E956-45A9-905B-0F0480C7D20B}"/>
              </c:ext>
            </c:extLst>
          </c:dPt>
          <c:dPt>
            <c:idx val="9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C-E956-45A9-905B-0F0480C7D20B}"/>
              </c:ext>
            </c:extLst>
          </c:dPt>
          <c:dLbls>
            <c:dLbl>
              <c:idx val="0"/>
              <c:layout>
                <c:manualLayout>
                  <c:x val="-3.6918907388181821E-2"/>
                  <c:y val="-3.150009020833980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E956-45A9-905B-0F0480C7D20B}"/>
                </c:ext>
              </c:extLst>
            </c:dLbl>
            <c:dLbl>
              <c:idx val="1"/>
              <c:layout>
                <c:manualLayout>
                  <c:x val="1.7352033150663131E-2"/>
                  <c:y val="-5.67253213982458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956-45A9-905B-0F0480C7D20B}"/>
                </c:ext>
              </c:extLst>
            </c:dLbl>
            <c:dLbl>
              <c:idx val="3"/>
              <c:layout>
                <c:manualLayout>
                  <c:x val="1.1484904443760919E-2"/>
                  <c:y val="1.47461669731543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E956-45A9-905B-0F0480C7D20B}"/>
                </c:ext>
              </c:extLst>
            </c:dLbl>
            <c:dLbl>
              <c:idx val="4"/>
              <c:layout>
                <c:manualLayout>
                  <c:x val="-2.4935297004339548E-4"/>
                  <c:y val="-0.1450136305629166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956-45A9-905B-0F0480C7D20B}"/>
                </c:ext>
              </c:extLst>
            </c:dLbl>
            <c:dLbl>
              <c:idx val="5"/>
              <c:layout>
                <c:manualLayout>
                  <c:x val="7.0845579135843549E-3"/>
                  <c:y val="-7.35421421915165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956-45A9-905B-0F0480C7D20B}"/>
                </c:ext>
              </c:extLst>
            </c:dLbl>
            <c:dLbl>
              <c:idx val="6"/>
              <c:layout>
                <c:manualLayout>
                  <c:x val="-3.4718734123093516E-2"/>
                  <c:y val="-9.03589629847870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956-45A9-905B-0F0480C7D20B}"/>
                </c:ext>
              </c:extLst>
            </c:dLbl>
            <c:dLbl>
              <c:idx val="9"/>
              <c:layout>
                <c:manualLayout>
                  <c:x val="-7.5832638536710382E-3"/>
                  <c:y val="-0.2206893241326343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E956-45A9-905B-0F0480C7D2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6">
                        <a:lumMod val="20000"/>
                        <a:lumOff val="8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Analysis!$H$35:$H$45</c:f>
              <c:strCache>
                <c:ptCount val="10"/>
                <c:pt idx="0">
                  <c:v>Ernst Handel</c:v>
                </c:pt>
                <c:pt idx="1">
                  <c:v>Folk Och Fä Hb</c:v>
                </c:pt>
                <c:pt idx="2">
                  <c:v>Frankenversand</c:v>
                </c:pt>
                <c:pt idx="3">
                  <c:v>Hilarion-Abastos</c:v>
                </c:pt>
                <c:pt idx="4">
                  <c:v>Hungry Owl All-Night Grocers</c:v>
                </c:pt>
                <c:pt idx="5">
                  <c:v>Quick-Stop</c:v>
                </c:pt>
                <c:pt idx="6">
                  <c:v>Rattlesnake Canyon Grocery</c:v>
                </c:pt>
                <c:pt idx="7">
                  <c:v>Save-A-Lot Markets</c:v>
                </c:pt>
                <c:pt idx="8">
                  <c:v>Suprêmes Délices</c:v>
                </c:pt>
                <c:pt idx="9">
                  <c:v>White Clover Markets</c:v>
                </c:pt>
              </c:strCache>
            </c:strRef>
          </c:cat>
          <c:val>
            <c:numRef>
              <c:f>Analysis!$K$35:$K$45</c:f>
              <c:numCache>
                <c:formatCode>General</c:formatCode>
                <c:ptCount val="10"/>
                <c:pt idx="0">
                  <c:v>914</c:v>
                </c:pt>
                <c:pt idx="1">
                  <c:v>158</c:v>
                </c:pt>
                <c:pt idx="3">
                  <c:v>124</c:v>
                </c:pt>
                <c:pt idx="4">
                  <c:v>399</c:v>
                </c:pt>
                <c:pt idx="5">
                  <c:v>693</c:v>
                </c:pt>
                <c:pt idx="6">
                  <c:v>334</c:v>
                </c:pt>
                <c:pt idx="7">
                  <c:v>229</c:v>
                </c:pt>
                <c:pt idx="9">
                  <c:v>176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956-45A9-905B-0F0480C7D20B}"/>
            </c:ext>
          </c:extLst>
        </c:ser>
        <c:ser>
          <c:idx val="3"/>
          <c:order val="3"/>
          <c:tx>
            <c:strRef>
              <c:f>Analysis!$L$33:$L$34</c:f>
              <c:strCache>
                <c:ptCount val="1"/>
                <c:pt idx="0">
                  <c:v>Western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6-E956-45A9-905B-0F0480C7D20B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E956-45A9-905B-0F0480C7D20B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0-E956-45A9-905B-0F0480C7D20B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E956-45A9-905B-0F0480C7D20B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E956-45A9-905B-0F0480C7D20B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E956-45A9-905B-0F0480C7D20B}"/>
              </c:ext>
            </c:extLst>
          </c:dPt>
          <c:dPt>
            <c:idx val="8"/>
            <c:marker>
              <c:symbol val="none"/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E956-45A9-905B-0F0480C7D20B}"/>
              </c:ext>
            </c:extLst>
          </c:dPt>
          <c:dPt>
            <c:idx val="9"/>
            <c:marker>
              <c:symbol val="none"/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A-E956-45A9-905B-0F0480C7D20B}"/>
              </c:ext>
            </c:extLst>
          </c:dPt>
          <c:dLbls>
            <c:dLbl>
              <c:idx val="0"/>
              <c:layout>
                <c:manualLayout>
                  <c:x val="-2.151769453256366E-2"/>
                  <c:y val="-0.170238861752822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E956-45A9-905B-0F0480C7D20B}"/>
                </c:ext>
              </c:extLst>
            </c:dLbl>
            <c:dLbl>
              <c:idx val="1"/>
              <c:layout>
                <c:manualLayout>
                  <c:x val="7.8179490019470981E-3"/>
                  <c:y val="-0.2669355813141285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E956-45A9-905B-0F0480C7D20B}"/>
                </c:ext>
              </c:extLst>
            </c:dLbl>
            <c:dLbl>
              <c:idx val="2"/>
              <c:layout>
                <c:manualLayout>
                  <c:x val="-2.6651432151103049E-2"/>
                  <c:y val="-9.03589629847870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E956-45A9-905B-0F0480C7D20B}"/>
                </c:ext>
              </c:extLst>
            </c:dLbl>
            <c:dLbl>
              <c:idx val="3"/>
              <c:layout>
                <c:manualLayout>
                  <c:x val="-1.1250219295484941E-2"/>
                  <c:y val="-0.1239926045713283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956-45A9-905B-0F0480C7D20B}"/>
                </c:ext>
              </c:extLst>
            </c:dLbl>
            <c:dLbl>
              <c:idx val="4"/>
              <c:layout>
                <c:manualLayout>
                  <c:x val="-4.1319253918358494E-2"/>
                  <c:y val="-0.1450136305629166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956-45A9-905B-0F0480C7D20B}"/>
                </c:ext>
              </c:extLst>
            </c:dLbl>
            <c:dLbl>
              <c:idx val="6"/>
              <c:layout>
                <c:manualLayout>
                  <c:x val="-3.0846429176538199E-2"/>
                  <c:y val="-3.57042954066575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956-45A9-905B-0F0480C7D20B}"/>
                </c:ext>
              </c:extLst>
            </c:dLbl>
            <c:dLbl>
              <c:idx val="8"/>
              <c:layout>
                <c:manualLayout>
                  <c:x val="5.6177757368588172E-3"/>
                  <c:y val="-5.462321879908699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accent6">
                          <a:lumMod val="20000"/>
                          <a:lumOff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2.0300265325881466E-2"/>
                      <c:h val="5.459177002004445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9-E956-45A9-905B-0F0480C7D20B}"/>
                </c:ext>
              </c:extLst>
            </c:dLbl>
            <c:dLbl>
              <c:idx val="9"/>
              <c:layout>
                <c:manualLayout>
                  <c:x val="9.284731178672772E-3"/>
                  <c:y val="-0.1786472721494577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E956-45A9-905B-0F0480C7D2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6">
                        <a:lumMod val="20000"/>
                        <a:lumOff val="8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Analysis!$H$35:$H$45</c:f>
              <c:strCache>
                <c:ptCount val="10"/>
                <c:pt idx="0">
                  <c:v>Ernst Handel</c:v>
                </c:pt>
                <c:pt idx="1">
                  <c:v>Folk Och Fä Hb</c:v>
                </c:pt>
                <c:pt idx="2">
                  <c:v>Frankenversand</c:v>
                </c:pt>
                <c:pt idx="3">
                  <c:v>Hilarion-Abastos</c:v>
                </c:pt>
                <c:pt idx="4">
                  <c:v>Hungry Owl All-Night Grocers</c:v>
                </c:pt>
                <c:pt idx="5">
                  <c:v>Quick-Stop</c:v>
                </c:pt>
                <c:pt idx="6">
                  <c:v>Rattlesnake Canyon Grocery</c:v>
                </c:pt>
                <c:pt idx="7">
                  <c:v>Save-A-Lot Markets</c:v>
                </c:pt>
                <c:pt idx="8">
                  <c:v>Suprêmes Délices</c:v>
                </c:pt>
                <c:pt idx="9">
                  <c:v>White Clover Markets</c:v>
                </c:pt>
              </c:strCache>
            </c:strRef>
          </c:cat>
          <c:val>
            <c:numRef>
              <c:f>Analysis!$L$35:$L$45</c:f>
              <c:numCache>
                <c:formatCode>General</c:formatCode>
                <c:ptCount val="10"/>
                <c:pt idx="0">
                  <c:v>895</c:v>
                </c:pt>
                <c:pt idx="1">
                  <c:v>330</c:v>
                </c:pt>
                <c:pt idx="2">
                  <c:v>158</c:v>
                </c:pt>
                <c:pt idx="3">
                  <c:v>397</c:v>
                </c:pt>
                <c:pt idx="4">
                  <c:v>450</c:v>
                </c:pt>
                <c:pt idx="5">
                  <c:v>80</c:v>
                </c:pt>
                <c:pt idx="6">
                  <c:v>70</c:v>
                </c:pt>
                <c:pt idx="7">
                  <c:v>1302</c:v>
                </c:pt>
                <c:pt idx="8">
                  <c:v>232</c:v>
                </c:pt>
                <c:pt idx="9">
                  <c:v>145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956-45A9-905B-0F0480C7D20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118926720"/>
        <c:axId val="1118922880"/>
      </c:lineChart>
      <c:catAx>
        <c:axId val="1118926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6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8922880"/>
        <c:crosses val="autoZero"/>
        <c:auto val="1"/>
        <c:lblAlgn val="ctr"/>
        <c:lblOffset val="100"/>
        <c:noMultiLvlLbl val="0"/>
      </c:catAx>
      <c:valAx>
        <c:axId val="11189228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6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8926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accent6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22379F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image" Target="../media/image11.svg"/><Relationship Id="rId3" Type="http://schemas.openxmlformats.org/officeDocument/2006/relationships/image" Target="../media/image3.png"/><Relationship Id="rId7" Type="http://schemas.openxmlformats.org/officeDocument/2006/relationships/chart" Target="../charts/chart2.xml"/><Relationship Id="rId12" Type="http://schemas.openxmlformats.org/officeDocument/2006/relationships/image" Target="../media/image10.png"/><Relationship Id="rId2" Type="http://schemas.openxmlformats.org/officeDocument/2006/relationships/image" Target="../media/image2.svg"/><Relationship Id="rId16" Type="http://schemas.openxmlformats.org/officeDocument/2006/relationships/chart" Target="../charts/chart3.xml"/><Relationship Id="rId1" Type="http://schemas.openxmlformats.org/officeDocument/2006/relationships/image" Target="../media/image1.png"/><Relationship Id="rId6" Type="http://schemas.openxmlformats.org/officeDocument/2006/relationships/chart" Target="../charts/chart1.xml"/><Relationship Id="rId11" Type="http://schemas.openxmlformats.org/officeDocument/2006/relationships/image" Target="../media/image9.svg"/><Relationship Id="rId5" Type="http://schemas.openxmlformats.org/officeDocument/2006/relationships/image" Target="../media/image5.png"/><Relationship Id="rId15" Type="http://schemas.openxmlformats.org/officeDocument/2006/relationships/image" Target="../media/image13.svg"/><Relationship Id="rId10" Type="http://schemas.openxmlformats.org/officeDocument/2006/relationships/image" Target="../media/image8.png"/><Relationship Id="rId4" Type="http://schemas.openxmlformats.org/officeDocument/2006/relationships/image" Target="../media/image4.png"/><Relationship Id="rId9" Type="http://schemas.openxmlformats.org/officeDocument/2006/relationships/image" Target="../media/image7.svg"/><Relationship Id="rId14" Type="http://schemas.openxmlformats.org/officeDocument/2006/relationships/image" Target="../media/image12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svg"/><Relationship Id="rId13" Type="http://schemas.openxmlformats.org/officeDocument/2006/relationships/chart" Target="../charts/chart6.xml"/><Relationship Id="rId3" Type="http://schemas.openxmlformats.org/officeDocument/2006/relationships/image" Target="../media/image16.png"/><Relationship Id="rId7" Type="http://schemas.openxmlformats.org/officeDocument/2006/relationships/image" Target="../media/image10.png"/><Relationship Id="rId12" Type="http://schemas.openxmlformats.org/officeDocument/2006/relationships/chart" Target="../charts/chart5.xml"/><Relationship Id="rId2" Type="http://schemas.openxmlformats.org/officeDocument/2006/relationships/image" Target="../media/image15.svg"/><Relationship Id="rId1" Type="http://schemas.openxmlformats.org/officeDocument/2006/relationships/image" Target="../media/image14.png"/><Relationship Id="rId6" Type="http://schemas.openxmlformats.org/officeDocument/2006/relationships/image" Target="../media/image9.svg"/><Relationship Id="rId11" Type="http://schemas.openxmlformats.org/officeDocument/2006/relationships/chart" Target="../charts/chart4.xml"/><Relationship Id="rId5" Type="http://schemas.openxmlformats.org/officeDocument/2006/relationships/image" Target="../media/image8.png"/><Relationship Id="rId10" Type="http://schemas.openxmlformats.org/officeDocument/2006/relationships/image" Target="../media/image13.svg"/><Relationship Id="rId4" Type="http://schemas.openxmlformats.org/officeDocument/2006/relationships/image" Target="../media/image17.svg"/><Relationship Id="rId9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469846</xdr:colOff>
      <xdr:row>2</xdr:row>
      <xdr:rowOff>95250</xdr:rowOff>
    </xdr:from>
    <xdr:to>
      <xdr:col>26</xdr:col>
      <xdr:colOff>0</xdr:colOff>
      <xdr:row>36</xdr:row>
      <xdr:rowOff>173182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070F2EB9-4B5A-9E1B-9431-45DA036804FC}"/>
            </a:ext>
          </a:extLst>
        </xdr:cNvPr>
        <xdr:cNvSpPr/>
      </xdr:nvSpPr>
      <xdr:spPr>
        <a:xfrm>
          <a:off x="2894391" y="476250"/>
          <a:ext cx="11652882" cy="6554932"/>
        </a:xfrm>
        <a:prstGeom prst="roundRect">
          <a:avLst>
            <a:gd name="adj" fmla="val 6739"/>
          </a:avLst>
        </a:prstGeom>
        <a:solidFill>
          <a:srgbClr val="000D0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19</xdr:col>
      <xdr:colOff>176893</xdr:colOff>
      <xdr:row>3</xdr:row>
      <xdr:rowOff>149679</xdr:rowOff>
    </xdr:to>
    <xdr:sp macro="" textlink="">
      <xdr:nvSpPr>
        <xdr:cNvPr id="3" name="Rectangle: Top Corners Rounded 2">
          <a:extLst>
            <a:ext uri="{FF2B5EF4-FFF2-40B4-BE49-F238E27FC236}">
              <a16:creationId xmlns:a16="http://schemas.microsoft.com/office/drawing/2014/main" id="{4F784880-1DEC-48BB-5AB2-99333B6048F6}"/>
            </a:ext>
          </a:extLst>
        </xdr:cNvPr>
        <xdr:cNvSpPr/>
      </xdr:nvSpPr>
      <xdr:spPr>
        <a:xfrm>
          <a:off x="5510893" y="190500"/>
          <a:ext cx="5075464" cy="530679"/>
        </a:xfrm>
        <a:prstGeom prst="round2SameRect">
          <a:avLst>
            <a:gd name="adj1" fmla="val 50000"/>
            <a:gd name="adj2" fmla="val 0"/>
          </a:avLst>
        </a:prstGeom>
        <a:solidFill>
          <a:srgbClr val="011C1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7</xdr:row>
      <xdr:rowOff>0</xdr:rowOff>
    </xdr:from>
    <xdr:to>
      <xdr:col>11</xdr:col>
      <xdr:colOff>1</xdr:colOff>
      <xdr:row>13</xdr:row>
      <xdr:rowOff>122464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6C814B33-D7DF-6BF3-843B-5045093D742E}"/>
            </a:ext>
          </a:extLst>
        </xdr:cNvPr>
        <xdr:cNvSpPr/>
      </xdr:nvSpPr>
      <xdr:spPr>
        <a:xfrm>
          <a:off x="3025588" y="1333500"/>
          <a:ext cx="2420472" cy="1265464"/>
        </a:xfrm>
        <a:prstGeom prst="roundRect">
          <a:avLst/>
        </a:prstGeom>
        <a:solidFill>
          <a:srgbClr val="011C1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7</xdr:col>
      <xdr:colOff>40821</xdr:colOff>
      <xdr:row>3</xdr:row>
      <xdr:rowOff>13609</xdr:rowOff>
    </xdr:from>
    <xdr:to>
      <xdr:col>8</xdr:col>
      <xdr:colOff>149679</xdr:colOff>
      <xdr:row>6</xdr:row>
      <xdr:rowOff>108858</xdr:rowOff>
    </xdr:to>
    <xdr:pic>
      <xdr:nvPicPr>
        <xdr:cNvPr id="6" name="Graphic 5" descr="Business Growth outline">
          <a:extLst>
            <a:ext uri="{FF2B5EF4-FFF2-40B4-BE49-F238E27FC236}">
              <a16:creationId xmlns:a16="http://schemas.microsoft.com/office/drawing/2014/main" id="{A16FDC12-8186-7A7A-B02B-CBC633A729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102428" y="585109"/>
          <a:ext cx="721180" cy="666749"/>
        </a:xfrm>
        <a:prstGeom prst="rect">
          <a:avLst/>
        </a:prstGeom>
      </xdr:spPr>
    </xdr:pic>
    <xdr:clientData/>
  </xdr:twoCellAnchor>
  <xdr:twoCellAnchor>
    <xdr:from>
      <xdr:col>8</xdr:col>
      <xdr:colOff>285749</xdr:colOff>
      <xdr:row>3</xdr:row>
      <xdr:rowOff>163285</xdr:rowOff>
    </xdr:from>
    <xdr:to>
      <xdr:col>10</xdr:col>
      <xdr:colOff>449036</xdr:colOff>
      <xdr:row>5</xdr:row>
      <xdr:rowOff>81642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0CC8C32-760E-37A6-8450-80588EB46706}"/>
            </a:ext>
          </a:extLst>
        </xdr:cNvPr>
        <xdr:cNvSpPr txBox="1"/>
      </xdr:nvSpPr>
      <xdr:spPr>
        <a:xfrm>
          <a:off x="3959678" y="734785"/>
          <a:ext cx="1387929" cy="2993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chemeClr val="bg1">
                  <a:lumMod val="75000"/>
                </a:schemeClr>
              </a:solidFill>
            </a:rPr>
            <a:t>Sales Performance</a:t>
          </a:r>
        </a:p>
      </xdr:txBody>
    </xdr:sp>
    <xdr:clientData/>
  </xdr:twoCellAnchor>
  <xdr:twoCellAnchor>
    <xdr:from>
      <xdr:col>11</xdr:col>
      <xdr:colOff>257734</xdr:colOff>
      <xdr:row>7</xdr:row>
      <xdr:rowOff>0</xdr:rowOff>
    </xdr:from>
    <xdr:to>
      <xdr:col>15</xdr:col>
      <xdr:colOff>257735</xdr:colOff>
      <xdr:row>13</xdr:row>
      <xdr:rowOff>122464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0FC0BC2C-D63D-4F6B-8952-89E2047BF621}"/>
            </a:ext>
          </a:extLst>
        </xdr:cNvPr>
        <xdr:cNvSpPr/>
      </xdr:nvSpPr>
      <xdr:spPr>
        <a:xfrm>
          <a:off x="5703793" y="1333500"/>
          <a:ext cx="2420471" cy="1265464"/>
        </a:xfrm>
        <a:prstGeom prst="roundRect">
          <a:avLst/>
        </a:prstGeom>
        <a:solidFill>
          <a:srgbClr val="011C1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190501</xdr:colOff>
      <xdr:row>7</xdr:row>
      <xdr:rowOff>122464</xdr:rowOff>
    </xdr:from>
    <xdr:to>
      <xdr:col>9</xdr:col>
      <xdr:colOff>40821</xdr:colOff>
      <xdr:row>8</xdr:row>
      <xdr:rowOff>176893</xdr:rowOff>
    </xdr:to>
    <xdr:sp macro="" textlink="Analysis!B14">
      <xdr:nvSpPr>
        <xdr:cNvPr id="11" name="TextBox 10">
          <a:extLst>
            <a:ext uri="{FF2B5EF4-FFF2-40B4-BE49-F238E27FC236}">
              <a16:creationId xmlns:a16="http://schemas.microsoft.com/office/drawing/2014/main" id="{50CA3C4B-CE28-A2EC-7EBE-67137C60FC80}"/>
            </a:ext>
          </a:extLst>
        </xdr:cNvPr>
        <xdr:cNvSpPr txBox="1"/>
      </xdr:nvSpPr>
      <xdr:spPr>
        <a:xfrm>
          <a:off x="3252108" y="1455964"/>
          <a:ext cx="1074963" cy="2449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0" i="0" u="none" strike="noStrike">
              <a:solidFill>
                <a:schemeClr val="bg1">
                  <a:lumMod val="75000"/>
                </a:schemeClr>
              </a:solidFill>
              <a:latin typeface="Aptos Narrow"/>
            </a:rPr>
            <a:t>Total Sales</a:t>
          </a:r>
        </a:p>
      </xdr:txBody>
    </xdr:sp>
    <xdr:clientData/>
  </xdr:twoCellAnchor>
  <xdr:twoCellAnchor>
    <xdr:from>
      <xdr:col>11</xdr:col>
      <xdr:colOff>5123</xdr:colOff>
      <xdr:row>8</xdr:row>
      <xdr:rowOff>0</xdr:rowOff>
    </xdr:from>
    <xdr:to>
      <xdr:col>13</xdr:col>
      <xdr:colOff>403412</xdr:colOff>
      <xdr:row>9</xdr:row>
      <xdr:rowOff>92528</xdr:rowOff>
    </xdr:to>
    <xdr:sp macro="" textlink="Analysis!B14">
      <xdr:nvSpPr>
        <xdr:cNvPr id="12" name="TextBox 11">
          <a:extLst>
            <a:ext uri="{FF2B5EF4-FFF2-40B4-BE49-F238E27FC236}">
              <a16:creationId xmlns:a16="http://schemas.microsoft.com/office/drawing/2014/main" id="{426DC67E-A366-4886-A2B2-DACF439F09E9}"/>
            </a:ext>
          </a:extLst>
        </xdr:cNvPr>
        <xdr:cNvSpPr txBox="1"/>
      </xdr:nvSpPr>
      <xdr:spPr>
        <a:xfrm>
          <a:off x="5451182" y="1524000"/>
          <a:ext cx="1608524" cy="2830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0" i="0" u="none" strike="noStrike">
              <a:solidFill>
                <a:schemeClr val="bg1">
                  <a:lumMod val="75000"/>
                </a:schemeClr>
              </a:solidFill>
              <a:latin typeface="Aptos Narrow"/>
            </a:rPr>
            <a:t>Top</a:t>
          </a:r>
          <a:r>
            <a:rPr lang="en-US" sz="1400" b="0" i="0" u="none" strike="noStrike" baseline="0">
              <a:solidFill>
                <a:schemeClr val="bg1">
                  <a:lumMod val="75000"/>
                </a:schemeClr>
              </a:solidFill>
              <a:latin typeface="Aptos Narrow"/>
            </a:rPr>
            <a:t> Year</a:t>
          </a:r>
          <a:endParaRPr lang="en-US" sz="1400" b="0" i="0" u="none" strike="noStrike">
            <a:solidFill>
              <a:schemeClr val="bg1">
                <a:lumMod val="75000"/>
              </a:schemeClr>
            </a:solidFill>
            <a:latin typeface="Aptos Narrow"/>
          </a:endParaRPr>
        </a:p>
      </xdr:txBody>
    </xdr:sp>
    <xdr:clientData/>
  </xdr:twoCellAnchor>
  <xdr:twoCellAnchor>
    <xdr:from>
      <xdr:col>7</xdr:col>
      <xdr:colOff>0</xdr:colOff>
      <xdr:row>14</xdr:row>
      <xdr:rowOff>68036</xdr:rowOff>
    </xdr:from>
    <xdr:to>
      <xdr:col>11</xdr:col>
      <xdr:colOff>38101</xdr:colOff>
      <xdr:row>21</xdr:row>
      <xdr:rowOff>0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1558E93F-FED6-4611-9C9F-55C0CE98EFC1}"/>
            </a:ext>
          </a:extLst>
        </xdr:cNvPr>
        <xdr:cNvSpPr/>
      </xdr:nvSpPr>
      <xdr:spPr>
        <a:xfrm>
          <a:off x="3025588" y="2735036"/>
          <a:ext cx="2458572" cy="1265464"/>
        </a:xfrm>
        <a:prstGeom prst="roundRect">
          <a:avLst/>
        </a:prstGeom>
        <a:solidFill>
          <a:srgbClr val="011C1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490976</xdr:colOff>
      <xdr:row>15</xdr:row>
      <xdr:rowOff>0</xdr:rowOff>
    </xdr:from>
    <xdr:to>
      <xdr:col>9</xdr:col>
      <xdr:colOff>324970</xdr:colOff>
      <xdr:row>16</xdr:row>
      <xdr:rowOff>133349</xdr:rowOff>
    </xdr:to>
    <xdr:sp macro="" textlink="Analysis!B14">
      <xdr:nvSpPr>
        <xdr:cNvPr id="14" name="TextBox 13">
          <a:extLst>
            <a:ext uri="{FF2B5EF4-FFF2-40B4-BE49-F238E27FC236}">
              <a16:creationId xmlns:a16="http://schemas.microsoft.com/office/drawing/2014/main" id="{AC6A08D9-1948-4793-9912-E465ADE509DE}"/>
            </a:ext>
          </a:extLst>
        </xdr:cNvPr>
        <xdr:cNvSpPr txBox="1"/>
      </xdr:nvSpPr>
      <xdr:spPr>
        <a:xfrm>
          <a:off x="2911447" y="2857500"/>
          <a:ext cx="1649347" cy="323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0" i="0" u="none" strike="noStrike">
              <a:solidFill>
                <a:schemeClr val="bg1">
                  <a:lumMod val="75000"/>
                </a:schemeClr>
              </a:solidFill>
              <a:latin typeface="Aptos Narrow"/>
            </a:rPr>
            <a:t>Top Employee</a:t>
          </a:r>
        </a:p>
      </xdr:txBody>
    </xdr:sp>
    <xdr:clientData/>
  </xdr:twoCellAnchor>
  <xdr:twoCellAnchor>
    <xdr:from>
      <xdr:col>7</xdr:col>
      <xdr:colOff>231321</xdr:colOff>
      <xdr:row>9</xdr:row>
      <xdr:rowOff>176893</xdr:rowOff>
    </xdr:from>
    <xdr:to>
      <xdr:col>10</xdr:col>
      <xdr:colOff>0</xdr:colOff>
      <xdr:row>12</xdr:row>
      <xdr:rowOff>176893</xdr:rowOff>
    </xdr:to>
    <xdr:sp macro="" textlink="Analysis!B14">
      <xdr:nvSpPr>
        <xdr:cNvPr id="18" name="TextBox 17">
          <a:extLst>
            <a:ext uri="{FF2B5EF4-FFF2-40B4-BE49-F238E27FC236}">
              <a16:creationId xmlns:a16="http://schemas.microsoft.com/office/drawing/2014/main" id="{A98D2279-DA86-1E58-1D51-AC98EE20FE60}"/>
            </a:ext>
          </a:extLst>
        </xdr:cNvPr>
        <xdr:cNvSpPr txBox="1"/>
      </xdr:nvSpPr>
      <xdr:spPr>
        <a:xfrm>
          <a:off x="3292928" y="1891393"/>
          <a:ext cx="1605643" cy="571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92083B17-0000-4A54-82A3-9DC961AF740E}" type="TxLink">
            <a:rPr lang="en-US" sz="2800" b="0" i="0" u="none" strike="noStrike">
              <a:solidFill>
                <a:schemeClr val="bg1">
                  <a:lumMod val="75000"/>
                </a:schemeClr>
              </a:solidFill>
              <a:latin typeface="Aptos Narrow"/>
            </a:rPr>
            <a:pPr algn="ctr"/>
            <a:t>$1.3M</a:t>
          </a:fld>
          <a:endParaRPr lang="en-US" sz="2800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>
    <xdr:from>
      <xdr:col>7</xdr:col>
      <xdr:colOff>0</xdr:colOff>
      <xdr:row>16</xdr:row>
      <xdr:rowOff>156882</xdr:rowOff>
    </xdr:from>
    <xdr:to>
      <xdr:col>9</xdr:col>
      <xdr:colOff>0</xdr:colOff>
      <xdr:row>19</xdr:row>
      <xdr:rowOff>156882</xdr:rowOff>
    </xdr:to>
    <xdr:sp macro="" textlink="Analysis!A6">
      <xdr:nvSpPr>
        <xdr:cNvPr id="20" name="TextBox 19">
          <a:extLst>
            <a:ext uri="{FF2B5EF4-FFF2-40B4-BE49-F238E27FC236}">
              <a16:creationId xmlns:a16="http://schemas.microsoft.com/office/drawing/2014/main" id="{84B71FDF-37F5-49C5-B37F-DAFEC771E5F7}"/>
            </a:ext>
          </a:extLst>
        </xdr:cNvPr>
        <xdr:cNvSpPr txBox="1"/>
      </xdr:nvSpPr>
      <xdr:spPr>
        <a:xfrm>
          <a:off x="3025588" y="3204882"/>
          <a:ext cx="1210236" cy="571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18BB5FF5-2F7C-4E81-AD70-504BF4FEC60E}" type="TxLink">
            <a:rPr lang="en-US" sz="3600" b="0" i="0" u="none" strike="noStrike">
              <a:solidFill>
                <a:schemeClr val="bg1">
                  <a:lumMod val="75000"/>
                </a:schemeClr>
              </a:solidFill>
              <a:latin typeface="Aptos Narrow"/>
            </a:rPr>
            <a:pPr algn="ctr"/>
            <a:t>4</a:t>
          </a:fld>
          <a:endParaRPr lang="en-US" sz="3600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>
    <xdr:from>
      <xdr:col>11</xdr:col>
      <xdr:colOff>278946</xdr:colOff>
      <xdr:row>10</xdr:row>
      <xdr:rowOff>0</xdr:rowOff>
    </xdr:from>
    <xdr:to>
      <xdr:col>14</xdr:col>
      <xdr:colOff>43143</xdr:colOff>
      <xdr:row>13</xdr:row>
      <xdr:rowOff>0</xdr:rowOff>
    </xdr:to>
    <xdr:sp macro="" textlink="Analysis!C17">
      <xdr:nvSpPr>
        <xdr:cNvPr id="21" name="TextBox 20">
          <a:extLst>
            <a:ext uri="{FF2B5EF4-FFF2-40B4-BE49-F238E27FC236}">
              <a16:creationId xmlns:a16="http://schemas.microsoft.com/office/drawing/2014/main" id="{A705C010-96E0-4C13-9626-F2558B3A75B8}"/>
            </a:ext>
          </a:extLst>
        </xdr:cNvPr>
        <xdr:cNvSpPr txBox="1"/>
      </xdr:nvSpPr>
      <xdr:spPr>
        <a:xfrm>
          <a:off x="6984546" y="1905000"/>
          <a:ext cx="1592997" cy="571500"/>
        </a:xfrm>
        <a:prstGeom prst="rect">
          <a:avLst/>
        </a:prstGeom>
        <a:solidFill>
          <a:srgbClr val="011C1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46EE68B6-E335-45F7-A69B-A8AD6724A06E}" type="TxLink">
            <a:rPr lang="en-US" sz="3200" b="0" i="0" u="none" strike="noStrike">
              <a:solidFill>
                <a:schemeClr val="bg1">
                  <a:lumMod val="75000"/>
                </a:schemeClr>
              </a:solidFill>
              <a:latin typeface="Aptos Narrow"/>
            </a:rPr>
            <a:pPr algn="ctr"/>
            <a:t>1997</a:t>
          </a:fld>
          <a:endParaRPr lang="en-US" sz="3200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>
    <xdr:from>
      <xdr:col>11</xdr:col>
      <xdr:colOff>275664</xdr:colOff>
      <xdr:row>14</xdr:row>
      <xdr:rowOff>68036</xdr:rowOff>
    </xdr:from>
    <xdr:to>
      <xdr:col>15</xdr:col>
      <xdr:colOff>313765</xdr:colOff>
      <xdr:row>21</xdr:row>
      <xdr:rowOff>0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1ACA57C7-120D-4EAA-A6D3-762A86DC2E74}"/>
            </a:ext>
          </a:extLst>
        </xdr:cNvPr>
        <xdr:cNvSpPr/>
      </xdr:nvSpPr>
      <xdr:spPr>
        <a:xfrm>
          <a:off x="5721723" y="2735036"/>
          <a:ext cx="2458571" cy="1265464"/>
        </a:xfrm>
        <a:prstGeom prst="roundRect">
          <a:avLst/>
        </a:prstGeom>
        <a:solidFill>
          <a:srgbClr val="011C1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206829</xdr:colOff>
      <xdr:row>14</xdr:row>
      <xdr:rowOff>97972</xdr:rowOff>
    </xdr:from>
    <xdr:to>
      <xdr:col>14</xdr:col>
      <xdr:colOff>0</xdr:colOff>
      <xdr:row>16</xdr:row>
      <xdr:rowOff>0</xdr:rowOff>
    </xdr:to>
    <xdr:sp macro="" textlink="Analysis!B14">
      <xdr:nvSpPr>
        <xdr:cNvPr id="27" name="TextBox 26">
          <a:extLst>
            <a:ext uri="{FF2B5EF4-FFF2-40B4-BE49-F238E27FC236}">
              <a16:creationId xmlns:a16="http://schemas.microsoft.com/office/drawing/2014/main" id="{48E1B2E1-C4A1-4888-A2C4-11679BF1697F}"/>
            </a:ext>
          </a:extLst>
        </xdr:cNvPr>
        <xdr:cNvSpPr txBox="1"/>
      </xdr:nvSpPr>
      <xdr:spPr>
        <a:xfrm>
          <a:off x="5652888" y="2764972"/>
          <a:ext cx="1608524" cy="2830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0" i="0" u="none" strike="noStrike">
              <a:solidFill>
                <a:schemeClr val="bg1">
                  <a:lumMod val="75000"/>
                </a:schemeClr>
              </a:solidFill>
              <a:latin typeface="Aptos Narrow"/>
            </a:rPr>
            <a:t>Top</a:t>
          </a:r>
          <a:r>
            <a:rPr lang="en-US" sz="1400" b="0" i="0" u="none" strike="noStrike" baseline="0">
              <a:solidFill>
                <a:schemeClr val="bg1">
                  <a:lumMod val="75000"/>
                </a:schemeClr>
              </a:solidFill>
              <a:latin typeface="Aptos Narrow"/>
            </a:rPr>
            <a:t> Company</a:t>
          </a:r>
          <a:endParaRPr lang="en-US" sz="1400" b="0" i="0" u="none" strike="noStrike">
            <a:solidFill>
              <a:schemeClr val="bg1">
                <a:lumMod val="75000"/>
              </a:schemeClr>
            </a:solidFill>
            <a:latin typeface="Aptos Narrow"/>
          </a:endParaRPr>
        </a:p>
      </xdr:txBody>
    </xdr:sp>
    <xdr:clientData/>
  </xdr:twoCellAnchor>
  <xdr:twoCellAnchor>
    <xdr:from>
      <xdr:col>11</xdr:col>
      <xdr:colOff>231321</xdr:colOff>
      <xdr:row>17</xdr:row>
      <xdr:rowOff>0</xdr:rowOff>
    </xdr:from>
    <xdr:to>
      <xdr:col>14</xdr:col>
      <xdr:colOff>0</xdr:colOff>
      <xdr:row>20</xdr:row>
      <xdr:rowOff>56030</xdr:rowOff>
    </xdr:to>
    <xdr:sp macro="" textlink="Analysis!J15">
      <xdr:nvSpPr>
        <xdr:cNvPr id="29" name="TextBox 28">
          <a:extLst>
            <a:ext uri="{FF2B5EF4-FFF2-40B4-BE49-F238E27FC236}">
              <a16:creationId xmlns:a16="http://schemas.microsoft.com/office/drawing/2014/main" id="{E741CF0B-5C8C-4469-8BC4-304C1165772C}"/>
            </a:ext>
          </a:extLst>
        </xdr:cNvPr>
        <xdr:cNvSpPr txBox="1"/>
      </xdr:nvSpPr>
      <xdr:spPr>
        <a:xfrm>
          <a:off x="5677380" y="3238500"/>
          <a:ext cx="1584032" cy="6275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8E3D026A-BF64-4763-9E1B-4922762DC4B2}" type="TxLink">
            <a:rPr lang="en-US" sz="2000" b="0" i="0" u="none" strike="noStrike">
              <a:solidFill>
                <a:schemeClr val="bg1">
                  <a:lumMod val="75000"/>
                </a:schemeClr>
              </a:solidFill>
              <a:latin typeface="Aptos Narrow"/>
            </a:rPr>
            <a:pPr algn="ctr"/>
            <a:t>Quick-Stop</a:t>
          </a:fld>
          <a:endParaRPr lang="en-US" sz="4800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 editAs="oneCell">
    <xdr:from>
      <xdr:col>11</xdr:col>
      <xdr:colOff>224117</xdr:colOff>
      <xdr:row>1</xdr:row>
      <xdr:rowOff>17973</xdr:rowOff>
    </xdr:from>
    <xdr:to>
      <xdr:col>12</xdr:col>
      <xdr:colOff>80073</xdr:colOff>
      <xdr:row>3</xdr:row>
      <xdr:rowOff>98045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CB33643C-9159-8104-FD67-C4BFE4BD8F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alphaModFix/>
        </a:blip>
        <a:stretch>
          <a:fillRect/>
        </a:stretch>
      </xdr:blipFill>
      <xdr:spPr>
        <a:xfrm>
          <a:off x="5670176" y="208473"/>
          <a:ext cx="461072" cy="461072"/>
        </a:xfrm>
        <a:prstGeom prst="rect">
          <a:avLst/>
        </a:prstGeom>
        <a:noFill/>
      </xdr:spPr>
    </xdr:pic>
    <xdr:clientData/>
  </xdr:twoCellAnchor>
  <xdr:twoCellAnchor editAs="oneCell">
    <xdr:from>
      <xdr:col>17</xdr:col>
      <xdr:colOff>474607</xdr:colOff>
      <xdr:row>0</xdr:row>
      <xdr:rowOff>116019</xdr:rowOff>
    </xdr:from>
    <xdr:to>
      <xdr:col>18</xdr:col>
      <xdr:colOff>515471</xdr:colOff>
      <xdr:row>4</xdr:row>
      <xdr:rowOff>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F5A52564-286C-9D1E-E225-0FA3C6F09E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alphaModFix amt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1372" y="116019"/>
          <a:ext cx="645981" cy="645981"/>
        </a:xfrm>
        <a:prstGeom prst="rect">
          <a:avLst/>
        </a:prstGeom>
        <a:noFill/>
      </xdr:spPr>
    </xdr:pic>
    <xdr:clientData/>
  </xdr:twoCellAnchor>
  <xdr:twoCellAnchor editAs="oneCell">
    <xdr:from>
      <xdr:col>14</xdr:col>
      <xdr:colOff>335349</xdr:colOff>
      <xdr:row>1</xdr:row>
      <xdr:rowOff>3960</xdr:rowOff>
    </xdr:from>
    <xdr:to>
      <xdr:col>15</xdr:col>
      <xdr:colOff>219331</xdr:colOff>
      <xdr:row>3</xdr:row>
      <xdr:rowOff>112058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6B7E832D-06B9-26FE-C0C5-5EF4A4AC5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alphaModFix amt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96761" y="194460"/>
          <a:ext cx="489098" cy="489098"/>
        </a:xfrm>
        <a:prstGeom prst="rect">
          <a:avLst/>
        </a:prstGeom>
        <a:noFill/>
      </xdr:spPr>
    </xdr:pic>
    <xdr:clientData/>
  </xdr:twoCellAnchor>
  <xdr:twoCellAnchor>
    <xdr:from>
      <xdr:col>7</xdr:col>
      <xdr:colOff>58141</xdr:colOff>
      <xdr:row>21</xdr:row>
      <xdr:rowOff>84117</xdr:rowOff>
    </xdr:from>
    <xdr:to>
      <xdr:col>25</xdr:col>
      <xdr:colOff>415637</xdr:colOff>
      <xdr:row>35</xdr:row>
      <xdr:rowOff>160317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B46261CE-E912-4BCB-B2F1-75C2186C47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69274</xdr:colOff>
      <xdr:row>7</xdr:row>
      <xdr:rowOff>247</xdr:rowOff>
    </xdr:from>
    <xdr:to>
      <xdr:col>20</xdr:col>
      <xdr:colOff>268941</xdr:colOff>
      <xdr:row>20</xdr:row>
      <xdr:rowOff>69273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1A6B20B9-0AC5-4EFD-9B9B-FB86B032B0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9</xdr:col>
      <xdr:colOff>329045</xdr:colOff>
      <xdr:row>7</xdr:row>
      <xdr:rowOff>155864</xdr:rowOff>
    </xdr:from>
    <xdr:to>
      <xdr:col>11</xdr:col>
      <xdr:colOff>31172</xdr:colOff>
      <xdr:row>12</xdr:row>
      <xdr:rowOff>117764</xdr:rowOff>
    </xdr:to>
    <xdr:pic>
      <xdr:nvPicPr>
        <xdr:cNvPr id="43" name="Graphic 42" descr="Flying Money with solid fill">
          <a:extLst>
            <a:ext uri="{FF2B5EF4-FFF2-40B4-BE49-F238E27FC236}">
              <a16:creationId xmlns:a16="http://schemas.microsoft.com/office/drawing/2014/main" id="{891A63D0-ACFC-1F9F-F42A-37DD562761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4572000" y="1489364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9</xdr:col>
      <xdr:colOff>115364</xdr:colOff>
      <xdr:row>15</xdr:row>
      <xdr:rowOff>80727</xdr:rowOff>
    </xdr:from>
    <xdr:to>
      <xdr:col>10</xdr:col>
      <xdr:colOff>423627</xdr:colOff>
      <xdr:row>20</xdr:row>
      <xdr:rowOff>42627</xdr:rowOff>
    </xdr:to>
    <xdr:pic>
      <xdr:nvPicPr>
        <xdr:cNvPr id="45" name="Graphic 44" descr="Office worker male with solid fill">
          <a:extLst>
            <a:ext uri="{FF2B5EF4-FFF2-40B4-BE49-F238E27FC236}">
              <a16:creationId xmlns:a16="http://schemas.microsoft.com/office/drawing/2014/main" id="{52ADDCF4-221A-FB57-FC77-E94FDC3BF3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4358319" y="2938227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13</xdr:col>
      <xdr:colOff>525136</xdr:colOff>
      <xdr:row>15</xdr:row>
      <xdr:rowOff>40227</xdr:rowOff>
    </xdr:from>
    <xdr:to>
      <xdr:col>15</xdr:col>
      <xdr:colOff>227264</xdr:colOff>
      <xdr:row>20</xdr:row>
      <xdr:rowOff>2127</xdr:rowOff>
    </xdr:to>
    <xdr:pic>
      <xdr:nvPicPr>
        <xdr:cNvPr id="47" name="Graphic 46" descr="Factory with solid fill">
          <a:extLst>
            <a:ext uri="{FF2B5EF4-FFF2-40B4-BE49-F238E27FC236}">
              <a16:creationId xmlns:a16="http://schemas.microsoft.com/office/drawing/2014/main" id="{7F254CE4-4D5F-7C48-DD94-3A33726A16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7192636" y="2897727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13</xdr:col>
      <xdr:colOff>276819</xdr:colOff>
      <xdr:row>8</xdr:row>
      <xdr:rowOff>34363</xdr:rowOff>
    </xdr:from>
    <xdr:to>
      <xdr:col>14</xdr:col>
      <xdr:colOff>585083</xdr:colOff>
      <xdr:row>12</xdr:row>
      <xdr:rowOff>186763</xdr:rowOff>
    </xdr:to>
    <xdr:pic>
      <xdr:nvPicPr>
        <xdr:cNvPr id="49" name="Graphic 48" descr="Stopwatch 75% with solid fill">
          <a:extLst>
            <a:ext uri="{FF2B5EF4-FFF2-40B4-BE49-F238E27FC236}">
              <a16:creationId xmlns:a16="http://schemas.microsoft.com/office/drawing/2014/main" id="{0E0907EC-C1DB-118D-C4E1-F54DD276FB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6944319" y="1558363"/>
          <a:ext cx="914400" cy="914400"/>
        </a:xfrm>
        <a:prstGeom prst="rect">
          <a:avLst/>
        </a:prstGeom>
      </xdr:spPr>
    </xdr:pic>
    <xdr:clientData/>
  </xdr:twoCellAnchor>
  <xdr:twoCellAnchor>
    <xdr:from>
      <xdr:col>20</xdr:col>
      <xdr:colOff>373068</xdr:colOff>
      <xdr:row>6</xdr:row>
      <xdr:rowOff>156882</xdr:rowOff>
    </xdr:from>
    <xdr:to>
      <xdr:col>25</xdr:col>
      <xdr:colOff>448235</xdr:colOff>
      <xdr:row>20</xdr:row>
      <xdr:rowOff>67236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059C280E-1BF2-44DC-856D-2A03EF8C54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272142</xdr:colOff>
      <xdr:row>1</xdr:row>
      <xdr:rowOff>122464</xdr:rowOff>
    </xdr:from>
    <xdr:to>
      <xdr:col>34</xdr:col>
      <xdr:colOff>394606</xdr:colOff>
      <xdr:row>53</xdr:row>
      <xdr:rowOff>136071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DB6E6428-156C-1E43-BEE2-84567E175D96}"/>
            </a:ext>
          </a:extLst>
        </xdr:cNvPr>
        <xdr:cNvSpPr/>
      </xdr:nvSpPr>
      <xdr:spPr>
        <a:xfrm>
          <a:off x="2692613" y="312964"/>
          <a:ext cx="18275993" cy="9919607"/>
        </a:xfrm>
        <a:prstGeom prst="roundRect">
          <a:avLst>
            <a:gd name="adj" fmla="val 4636"/>
          </a:avLst>
        </a:prstGeom>
        <a:solidFill>
          <a:srgbClr val="00042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476250</xdr:colOff>
      <xdr:row>4</xdr:row>
      <xdr:rowOff>40823</xdr:rowOff>
    </xdr:from>
    <xdr:to>
      <xdr:col>27</xdr:col>
      <xdr:colOff>367392</xdr:colOff>
      <xdr:row>7</xdr:row>
      <xdr:rowOff>108857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47006BF-FDC5-4EA9-BACB-3D004EDC4320}"/>
            </a:ext>
          </a:extLst>
        </xdr:cNvPr>
        <xdr:cNvSpPr txBox="1"/>
      </xdr:nvSpPr>
      <xdr:spPr>
        <a:xfrm>
          <a:off x="6599464" y="802823"/>
          <a:ext cx="10300607" cy="6395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3200">
              <a:solidFill>
                <a:srgbClr val="97DC7E"/>
              </a:solidFill>
            </a:rPr>
            <a:t>Quantites</a:t>
          </a:r>
          <a:r>
            <a:rPr lang="en-US" sz="3200" baseline="0">
              <a:solidFill>
                <a:schemeClr val="bg1">
                  <a:lumMod val="75000"/>
                </a:schemeClr>
              </a:solidFill>
            </a:rPr>
            <a:t> </a:t>
          </a:r>
          <a:r>
            <a:rPr lang="en-US" sz="3200">
              <a:solidFill>
                <a:srgbClr val="97DC7E"/>
              </a:solidFill>
            </a:rPr>
            <a:t>Performance</a:t>
          </a:r>
        </a:p>
      </xdr:txBody>
    </xdr:sp>
    <xdr:clientData/>
  </xdr:twoCellAnchor>
  <xdr:twoCellAnchor editAs="oneCell">
    <xdr:from>
      <xdr:col>13</xdr:col>
      <xdr:colOff>217714</xdr:colOff>
      <xdr:row>3</xdr:row>
      <xdr:rowOff>0</xdr:rowOff>
    </xdr:from>
    <xdr:to>
      <xdr:col>15</xdr:col>
      <xdr:colOff>285750</xdr:colOff>
      <xdr:row>8</xdr:row>
      <xdr:rowOff>13608</xdr:rowOff>
    </xdr:to>
    <xdr:pic>
      <xdr:nvPicPr>
        <xdr:cNvPr id="13" name="Graphic 12" descr="Inventory with solid fill">
          <a:extLst>
            <a:ext uri="{FF2B5EF4-FFF2-40B4-BE49-F238E27FC236}">
              <a16:creationId xmlns:a16="http://schemas.microsoft.com/office/drawing/2014/main" id="{675613F0-A1AE-BE30-A994-1BC1947D68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177893" y="571500"/>
          <a:ext cx="1292678" cy="966108"/>
        </a:xfrm>
        <a:prstGeom prst="rect">
          <a:avLst/>
        </a:prstGeom>
      </xdr:spPr>
    </xdr:pic>
    <xdr:clientData/>
  </xdr:twoCellAnchor>
  <xdr:twoCellAnchor editAs="oneCell">
    <xdr:from>
      <xdr:col>23</xdr:col>
      <xdr:colOff>13607</xdr:colOff>
      <xdr:row>2</xdr:row>
      <xdr:rowOff>54430</xdr:rowOff>
    </xdr:from>
    <xdr:to>
      <xdr:col>25</xdr:col>
      <xdr:colOff>81642</xdr:colOff>
      <xdr:row>7</xdr:row>
      <xdr:rowOff>68038</xdr:rowOff>
    </xdr:to>
    <xdr:pic>
      <xdr:nvPicPr>
        <xdr:cNvPr id="16" name="Graphic 15" descr="Inventory with solid fill">
          <a:extLst>
            <a:ext uri="{FF2B5EF4-FFF2-40B4-BE49-F238E27FC236}">
              <a16:creationId xmlns:a16="http://schemas.microsoft.com/office/drawing/2014/main" id="{EF0833C4-E4D4-4961-AD33-520ACFB26D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4097000" y="435430"/>
          <a:ext cx="1292678" cy="966108"/>
        </a:xfrm>
        <a:prstGeom prst="rect">
          <a:avLst/>
        </a:prstGeom>
      </xdr:spPr>
    </xdr:pic>
    <xdr:clientData/>
  </xdr:twoCellAnchor>
  <xdr:twoCellAnchor>
    <xdr:from>
      <xdr:col>4</xdr:col>
      <xdr:colOff>585109</xdr:colOff>
      <xdr:row>11</xdr:row>
      <xdr:rowOff>13607</xdr:rowOff>
    </xdr:from>
    <xdr:to>
      <xdr:col>11</xdr:col>
      <xdr:colOff>2</xdr:colOff>
      <xdr:row>22</xdr:row>
      <xdr:rowOff>68035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876D0535-EBC8-4EFD-2D81-8A3BD09B731F}"/>
            </a:ext>
          </a:extLst>
        </xdr:cNvPr>
        <xdr:cNvSpPr/>
      </xdr:nvSpPr>
      <xdr:spPr>
        <a:xfrm>
          <a:off x="3034395" y="2109107"/>
          <a:ext cx="3701143" cy="2149928"/>
        </a:xfrm>
        <a:prstGeom prst="roundRect">
          <a:avLst/>
        </a:prstGeom>
        <a:solidFill>
          <a:srgbClr val="22379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9</xdr:col>
      <xdr:colOff>68356</xdr:colOff>
      <xdr:row>13</xdr:row>
      <xdr:rowOff>13607</xdr:rowOff>
    </xdr:from>
    <xdr:to>
      <xdr:col>11</xdr:col>
      <xdr:colOff>40821</xdr:colOff>
      <xdr:row>20</xdr:row>
      <xdr:rowOff>149679</xdr:rowOff>
    </xdr:to>
    <xdr:pic>
      <xdr:nvPicPr>
        <xdr:cNvPr id="15" name="Graphic 14" descr="Clipboard All Crosses outline">
          <a:extLst>
            <a:ext uri="{FF2B5EF4-FFF2-40B4-BE49-F238E27FC236}">
              <a16:creationId xmlns:a16="http://schemas.microsoft.com/office/drawing/2014/main" id="{50B1FD33-B3E5-9AC8-43B6-EA07752DCD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579249" y="2490107"/>
          <a:ext cx="1197108" cy="1469572"/>
        </a:xfrm>
        <a:prstGeom prst="rect">
          <a:avLst/>
        </a:prstGeom>
      </xdr:spPr>
    </xdr:pic>
    <xdr:clientData/>
  </xdr:twoCellAnchor>
  <xdr:twoCellAnchor>
    <xdr:from>
      <xdr:col>11</xdr:col>
      <xdr:colOff>315686</xdr:colOff>
      <xdr:row>10</xdr:row>
      <xdr:rowOff>152400</xdr:rowOff>
    </xdr:from>
    <xdr:to>
      <xdr:col>17</xdr:col>
      <xdr:colOff>342901</xdr:colOff>
      <xdr:row>22</xdr:row>
      <xdr:rowOff>16328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67F14E23-430F-4BA4-B902-4696BBE38D28}"/>
            </a:ext>
          </a:extLst>
        </xdr:cNvPr>
        <xdr:cNvSpPr/>
      </xdr:nvSpPr>
      <xdr:spPr>
        <a:xfrm>
          <a:off x="7051222" y="2057400"/>
          <a:ext cx="3701143" cy="2149928"/>
        </a:xfrm>
        <a:prstGeom prst="roundRect">
          <a:avLst/>
        </a:prstGeom>
        <a:solidFill>
          <a:srgbClr val="22379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345622</xdr:colOff>
      <xdr:row>22</xdr:row>
      <xdr:rowOff>182337</xdr:rowOff>
    </xdr:from>
    <xdr:to>
      <xdr:col>17</xdr:col>
      <xdr:colOff>372837</xdr:colOff>
      <xdr:row>34</xdr:row>
      <xdr:rowOff>46265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FF864700-6956-45DD-8A4D-732791570A60}"/>
            </a:ext>
          </a:extLst>
        </xdr:cNvPr>
        <xdr:cNvSpPr/>
      </xdr:nvSpPr>
      <xdr:spPr>
        <a:xfrm>
          <a:off x="7081158" y="4373337"/>
          <a:ext cx="3701143" cy="2149928"/>
        </a:xfrm>
        <a:prstGeom prst="roundRect">
          <a:avLst/>
        </a:prstGeom>
        <a:solidFill>
          <a:srgbClr val="22379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530678</xdr:colOff>
      <xdr:row>22</xdr:row>
      <xdr:rowOff>176891</xdr:rowOff>
    </xdr:from>
    <xdr:to>
      <xdr:col>10</xdr:col>
      <xdr:colOff>557893</xdr:colOff>
      <xdr:row>34</xdr:row>
      <xdr:rowOff>40819</xdr:rowOff>
    </xdr:to>
    <xdr:sp macro="" textlink="">
      <xdr:nvSpPr>
        <xdr:cNvPr id="24" name="Rectangle: Rounded Corners 23">
          <a:extLst>
            <a:ext uri="{FF2B5EF4-FFF2-40B4-BE49-F238E27FC236}">
              <a16:creationId xmlns:a16="http://schemas.microsoft.com/office/drawing/2014/main" id="{B9DF2FC8-01DB-43AB-B096-308681B58562}"/>
            </a:ext>
          </a:extLst>
        </xdr:cNvPr>
        <xdr:cNvSpPr/>
      </xdr:nvSpPr>
      <xdr:spPr>
        <a:xfrm>
          <a:off x="2979964" y="4367891"/>
          <a:ext cx="3701143" cy="2149928"/>
        </a:xfrm>
        <a:prstGeom prst="roundRect">
          <a:avLst/>
        </a:prstGeom>
        <a:solidFill>
          <a:srgbClr val="22379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190499</xdr:colOff>
      <xdr:row>16</xdr:row>
      <xdr:rowOff>108856</xdr:rowOff>
    </xdr:from>
    <xdr:to>
      <xdr:col>8</xdr:col>
      <xdr:colOff>231321</xdr:colOff>
      <xdr:row>21</xdr:row>
      <xdr:rowOff>122463</xdr:rowOff>
    </xdr:to>
    <xdr:sp macro="" textlink="Analysis!F14">
      <xdr:nvSpPr>
        <xdr:cNvPr id="25" name="TextBox 24">
          <a:extLst>
            <a:ext uri="{FF2B5EF4-FFF2-40B4-BE49-F238E27FC236}">
              <a16:creationId xmlns:a16="http://schemas.microsoft.com/office/drawing/2014/main" id="{D88AB3D9-465F-ED19-7291-A3E241420CCD}"/>
            </a:ext>
          </a:extLst>
        </xdr:cNvPr>
        <xdr:cNvSpPr txBox="1"/>
      </xdr:nvSpPr>
      <xdr:spPr>
        <a:xfrm>
          <a:off x="3252106" y="3156856"/>
          <a:ext cx="1877786" cy="9661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48342DBE-AFAE-4E55-B02A-E33AF4F347A4}" type="TxLink">
            <a:rPr lang="en-US" sz="4400" b="0" i="0" u="none" strike="noStrike">
              <a:solidFill>
                <a:srgbClr val="57B1A1"/>
              </a:solidFill>
              <a:latin typeface="Aptos Narrow"/>
            </a:rPr>
            <a:pPr algn="ctr"/>
            <a:t>51 K</a:t>
          </a:fld>
          <a:endParaRPr lang="en-US" sz="4400">
            <a:solidFill>
              <a:srgbClr val="57B1A1"/>
            </a:solidFill>
          </a:endParaRPr>
        </a:p>
      </xdr:txBody>
    </xdr:sp>
    <xdr:clientData/>
  </xdr:twoCellAnchor>
  <xdr:twoCellAnchor>
    <xdr:from>
      <xdr:col>5</xdr:col>
      <xdr:colOff>326573</xdr:colOff>
      <xdr:row>12</xdr:row>
      <xdr:rowOff>13608</xdr:rowOff>
    </xdr:from>
    <xdr:to>
      <xdr:col>8</xdr:col>
      <xdr:colOff>476251</xdr:colOff>
      <xdr:row>14</xdr:row>
      <xdr:rowOff>163287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9E7FE8F9-8378-C56A-73BD-94F1CF616695}"/>
            </a:ext>
          </a:extLst>
        </xdr:cNvPr>
        <xdr:cNvSpPr txBox="1"/>
      </xdr:nvSpPr>
      <xdr:spPr>
        <a:xfrm>
          <a:off x="3388180" y="2299608"/>
          <a:ext cx="1986642" cy="5306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400">
              <a:solidFill>
                <a:srgbClr val="57B1A1"/>
              </a:solidFill>
            </a:rPr>
            <a:t>Tota</a:t>
          </a:r>
          <a:r>
            <a:rPr lang="en-US" sz="2400"/>
            <a:t> </a:t>
          </a:r>
          <a:r>
            <a:rPr lang="en-US" sz="2400">
              <a:solidFill>
                <a:srgbClr val="57B1A1"/>
              </a:solidFill>
            </a:rPr>
            <a:t>Quantites</a:t>
          </a:r>
        </a:p>
      </xdr:txBody>
    </xdr:sp>
    <xdr:clientData/>
  </xdr:twoCellAnchor>
  <xdr:twoCellAnchor>
    <xdr:from>
      <xdr:col>5</xdr:col>
      <xdr:colOff>587829</xdr:colOff>
      <xdr:row>24</xdr:row>
      <xdr:rowOff>84364</xdr:rowOff>
    </xdr:from>
    <xdr:to>
      <xdr:col>9</xdr:col>
      <xdr:colOff>125185</xdr:colOff>
      <xdr:row>27</xdr:row>
      <xdr:rowOff>43543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6E312FEF-C01A-4683-8EB8-53C528933CA9}"/>
            </a:ext>
          </a:extLst>
        </xdr:cNvPr>
        <xdr:cNvSpPr txBox="1"/>
      </xdr:nvSpPr>
      <xdr:spPr>
        <a:xfrm>
          <a:off x="3649436" y="4656364"/>
          <a:ext cx="1986642" cy="5306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400">
              <a:solidFill>
                <a:srgbClr val="57B1A1"/>
              </a:solidFill>
            </a:rPr>
            <a:t>Top</a:t>
          </a:r>
          <a:r>
            <a:rPr lang="en-US" sz="2400" baseline="0">
              <a:solidFill>
                <a:srgbClr val="57B1A1"/>
              </a:solidFill>
            </a:rPr>
            <a:t> Employee </a:t>
          </a:r>
          <a:endParaRPr lang="en-US" sz="2400">
            <a:solidFill>
              <a:srgbClr val="57B1A1"/>
            </a:solidFill>
          </a:endParaRPr>
        </a:p>
      </xdr:txBody>
    </xdr:sp>
    <xdr:clientData/>
  </xdr:twoCellAnchor>
  <xdr:twoCellAnchor>
    <xdr:from>
      <xdr:col>12</xdr:col>
      <xdr:colOff>250372</xdr:colOff>
      <xdr:row>24</xdr:row>
      <xdr:rowOff>141514</xdr:rowOff>
    </xdr:from>
    <xdr:to>
      <xdr:col>15</xdr:col>
      <xdr:colOff>400050</xdr:colOff>
      <xdr:row>27</xdr:row>
      <xdr:rowOff>100693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9BB764C8-08CB-402F-8909-FDDF27507FAB}"/>
            </a:ext>
          </a:extLst>
        </xdr:cNvPr>
        <xdr:cNvSpPr txBox="1"/>
      </xdr:nvSpPr>
      <xdr:spPr>
        <a:xfrm>
          <a:off x="7598229" y="4713514"/>
          <a:ext cx="1986642" cy="5306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400">
              <a:solidFill>
                <a:srgbClr val="57B1A1"/>
              </a:solidFill>
            </a:rPr>
            <a:t>Top</a:t>
          </a:r>
          <a:r>
            <a:rPr lang="en-US" sz="2400" baseline="0">
              <a:solidFill>
                <a:srgbClr val="57B1A1"/>
              </a:solidFill>
            </a:rPr>
            <a:t> Company</a:t>
          </a:r>
          <a:endParaRPr lang="en-US" sz="2400">
            <a:solidFill>
              <a:srgbClr val="57B1A1"/>
            </a:solidFill>
          </a:endParaRPr>
        </a:p>
      </xdr:txBody>
    </xdr:sp>
    <xdr:clientData/>
  </xdr:twoCellAnchor>
  <xdr:twoCellAnchor>
    <xdr:from>
      <xdr:col>12</xdr:col>
      <xdr:colOff>1</xdr:colOff>
      <xdr:row>12</xdr:row>
      <xdr:rowOff>35378</xdr:rowOff>
    </xdr:from>
    <xdr:to>
      <xdr:col>16</xdr:col>
      <xdr:colOff>40821</xdr:colOff>
      <xdr:row>14</xdr:row>
      <xdr:rowOff>185057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FDD604-7C87-4F7C-AD8E-0C603DDF8A39}"/>
            </a:ext>
          </a:extLst>
        </xdr:cNvPr>
        <xdr:cNvSpPr txBox="1"/>
      </xdr:nvSpPr>
      <xdr:spPr>
        <a:xfrm>
          <a:off x="7347858" y="2321378"/>
          <a:ext cx="2490106" cy="5306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400">
              <a:solidFill>
                <a:srgbClr val="57B1A1"/>
              </a:solidFill>
            </a:rPr>
            <a:t>Top</a:t>
          </a:r>
          <a:r>
            <a:rPr lang="en-US" sz="2400"/>
            <a:t> </a:t>
          </a:r>
          <a:r>
            <a:rPr lang="en-US" sz="2400">
              <a:solidFill>
                <a:srgbClr val="57B1A1"/>
              </a:solidFill>
            </a:rPr>
            <a:t>Year &amp; Region</a:t>
          </a:r>
        </a:p>
      </xdr:txBody>
    </xdr:sp>
    <xdr:clientData/>
  </xdr:twoCellAnchor>
  <xdr:twoCellAnchor editAs="oneCell">
    <xdr:from>
      <xdr:col>8</xdr:col>
      <xdr:colOff>601436</xdr:colOff>
      <xdr:row>25</xdr:row>
      <xdr:rowOff>185157</xdr:rowOff>
    </xdr:from>
    <xdr:to>
      <xdr:col>10</xdr:col>
      <xdr:colOff>367392</xdr:colOff>
      <xdr:row>31</xdr:row>
      <xdr:rowOff>136071</xdr:rowOff>
    </xdr:to>
    <xdr:pic>
      <xdr:nvPicPr>
        <xdr:cNvPr id="30" name="Graphic 29" descr="Office worker male with solid fill">
          <a:extLst>
            <a:ext uri="{FF2B5EF4-FFF2-40B4-BE49-F238E27FC236}">
              <a16:creationId xmlns:a16="http://schemas.microsoft.com/office/drawing/2014/main" id="{03CAE41C-AF0D-4020-BBA3-8BB30C6CB7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5500007" y="4947657"/>
          <a:ext cx="990599" cy="1093914"/>
        </a:xfrm>
        <a:prstGeom prst="rect">
          <a:avLst/>
        </a:prstGeom>
      </xdr:spPr>
    </xdr:pic>
    <xdr:clientData/>
  </xdr:twoCellAnchor>
  <xdr:twoCellAnchor editAs="oneCell">
    <xdr:from>
      <xdr:col>15</xdr:col>
      <xdr:colOff>421821</xdr:colOff>
      <xdr:row>24</xdr:row>
      <xdr:rowOff>171871</xdr:rowOff>
    </xdr:from>
    <xdr:to>
      <xdr:col>17</xdr:col>
      <xdr:colOff>367392</xdr:colOff>
      <xdr:row>31</xdr:row>
      <xdr:rowOff>163285</xdr:rowOff>
    </xdr:to>
    <xdr:pic>
      <xdr:nvPicPr>
        <xdr:cNvPr id="31" name="Graphic 30" descr="Factory with solid fill">
          <a:extLst>
            <a:ext uri="{FF2B5EF4-FFF2-40B4-BE49-F238E27FC236}">
              <a16:creationId xmlns:a16="http://schemas.microsoft.com/office/drawing/2014/main" id="{F6F21A20-C2A0-4F8A-914E-98F1E8982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9606642" y="4743871"/>
          <a:ext cx="1170214" cy="1324914"/>
        </a:xfrm>
        <a:prstGeom prst="rect">
          <a:avLst/>
        </a:prstGeom>
      </xdr:spPr>
    </xdr:pic>
    <xdr:clientData/>
  </xdr:twoCellAnchor>
  <xdr:twoCellAnchor editAs="oneCell">
    <xdr:from>
      <xdr:col>15</xdr:col>
      <xdr:colOff>326572</xdr:colOff>
      <xdr:row>13</xdr:row>
      <xdr:rowOff>70756</xdr:rowOff>
    </xdr:from>
    <xdr:to>
      <xdr:col>17</xdr:col>
      <xdr:colOff>163286</xdr:colOff>
      <xdr:row>20</xdr:row>
      <xdr:rowOff>122463</xdr:rowOff>
    </xdr:to>
    <xdr:pic>
      <xdr:nvPicPr>
        <xdr:cNvPr id="32" name="Graphic 31" descr="Stopwatch 75% with solid fill">
          <a:extLst>
            <a:ext uri="{FF2B5EF4-FFF2-40B4-BE49-F238E27FC236}">
              <a16:creationId xmlns:a16="http://schemas.microsoft.com/office/drawing/2014/main" id="{CF1D6AEC-5884-4742-B8D0-7B1EA60A99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9511393" y="2547256"/>
          <a:ext cx="1061357" cy="1385207"/>
        </a:xfrm>
        <a:prstGeom prst="rect">
          <a:avLst/>
        </a:prstGeom>
      </xdr:spPr>
    </xdr:pic>
    <xdr:clientData/>
  </xdr:twoCellAnchor>
  <xdr:twoCellAnchor>
    <xdr:from>
      <xdr:col>12</xdr:col>
      <xdr:colOff>394606</xdr:colOff>
      <xdr:row>15</xdr:row>
      <xdr:rowOff>166007</xdr:rowOff>
    </xdr:from>
    <xdr:to>
      <xdr:col>15</xdr:col>
      <xdr:colOff>125185</xdr:colOff>
      <xdr:row>18</xdr:row>
      <xdr:rowOff>27215</xdr:rowOff>
    </xdr:to>
    <xdr:sp macro="" textlink="Analysis!G25:G26">
      <xdr:nvSpPr>
        <xdr:cNvPr id="33" name="TextBox 32">
          <a:extLst>
            <a:ext uri="{FF2B5EF4-FFF2-40B4-BE49-F238E27FC236}">
              <a16:creationId xmlns:a16="http://schemas.microsoft.com/office/drawing/2014/main" id="{DD5DCFCC-0B2C-4545-8AD8-F1052B949238}"/>
            </a:ext>
          </a:extLst>
        </xdr:cNvPr>
        <xdr:cNvSpPr txBox="1"/>
      </xdr:nvSpPr>
      <xdr:spPr>
        <a:xfrm>
          <a:off x="7742463" y="3023507"/>
          <a:ext cx="1567543" cy="4327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760BFB26-2605-4936-800B-DF5C5C327936}" type="TxLink">
            <a:rPr lang="en-US" sz="2400" b="0" i="0" u="none" strike="noStrike">
              <a:solidFill>
                <a:srgbClr val="57B1A1"/>
              </a:solidFill>
              <a:latin typeface="Aptos Narrow"/>
            </a:rPr>
            <a:pPr algn="ctr"/>
            <a:t>1997</a:t>
          </a:fld>
          <a:endParaRPr lang="en-US" sz="8000" b="0" i="0" u="none" strike="noStrike">
            <a:solidFill>
              <a:srgbClr val="57B1A1"/>
            </a:solidFill>
            <a:latin typeface="Aptos Narrow"/>
          </a:endParaRPr>
        </a:p>
      </xdr:txBody>
    </xdr:sp>
    <xdr:clientData/>
  </xdr:twoCellAnchor>
  <xdr:twoCellAnchor>
    <xdr:from>
      <xdr:col>6</xdr:col>
      <xdr:colOff>40821</xdr:colOff>
      <xdr:row>27</xdr:row>
      <xdr:rowOff>108856</xdr:rowOff>
    </xdr:from>
    <xdr:to>
      <xdr:col>9</xdr:col>
      <xdr:colOff>272143</xdr:colOff>
      <xdr:row>32</xdr:row>
      <xdr:rowOff>122463</xdr:rowOff>
    </xdr:to>
    <xdr:sp macro="" textlink="Analysis!E6">
      <xdr:nvSpPr>
        <xdr:cNvPr id="34" name="TextBox 33">
          <a:extLst>
            <a:ext uri="{FF2B5EF4-FFF2-40B4-BE49-F238E27FC236}">
              <a16:creationId xmlns:a16="http://schemas.microsoft.com/office/drawing/2014/main" id="{A0B1E72F-5419-4059-9FD6-8DE162535124}"/>
            </a:ext>
          </a:extLst>
        </xdr:cNvPr>
        <xdr:cNvSpPr txBox="1"/>
      </xdr:nvSpPr>
      <xdr:spPr>
        <a:xfrm>
          <a:off x="3714750" y="5252356"/>
          <a:ext cx="2068286" cy="9661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38C78C7F-0051-438E-BF3D-CB68D763268D}" type="TxLink">
            <a:rPr lang="en-US" sz="5400" b="0" i="0" u="none" strike="noStrike">
              <a:solidFill>
                <a:srgbClr val="57B1A1"/>
              </a:solidFill>
              <a:latin typeface="Aptos Narrow"/>
            </a:rPr>
            <a:pPr algn="ctr"/>
            <a:t>4</a:t>
          </a:fld>
          <a:endParaRPr lang="en-US" sz="23900">
            <a:solidFill>
              <a:srgbClr val="57B1A1"/>
            </a:solidFill>
          </a:endParaRPr>
        </a:p>
      </xdr:txBody>
    </xdr:sp>
    <xdr:clientData/>
  </xdr:twoCellAnchor>
  <xdr:twoCellAnchor>
    <xdr:from>
      <xdr:col>12</xdr:col>
      <xdr:colOff>168730</xdr:colOff>
      <xdr:row>28</xdr:row>
      <xdr:rowOff>100693</xdr:rowOff>
    </xdr:from>
    <xdr:to>
      <xdr:col>15</xdr:col>
      <xdr:colOff>353786</xdr:colOff>
      <xdr:row>33</xdr:row>
      <xdr:rowOff>114300</xdr:rowOff>
    </xdr:to>
    <xdr:sp macro="" textlink="Analysis!L10">
      <xdr:nvSpPr>
        <xdr:cNvPr id="35" name="TextBox 34">
          <a:extLst>
            <a:ext uri="{FF2B5EF4-FFF2-40B4-BE49-F238E27FC236}">
              <a16:creationId xmlns:a16="http://schemas.microsoft.com/office/drawing/2014/main" id="{36DF6C4F-275E-4B5A-8626-EC503F4C1784}"/>
            </a:ext>
          </a:extLst>
        </xdr:cNvPr>
        <xdr:cNvSpPr txBox="1"/>
      </xdr:nvSpPr>
      <xdr:spPr>
        <a:xfrm>
          <a:off x="7516587" y="5434693"/>
          <a:ext cx="2022020" cy="9661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56B110EF-E7C1-4078-888F-80C37B6E3F1B}" type="TxLink">
            <a:rPr lang="en-US" sz="2400" b="0" i="0" u="none" strike="noStrike">
              <a:solidFill>
                <a:srgbClr val="57B1A1"/>
              </a:solidFill>
              <a:latin typeface="Aptos Narrow"/>
            </a:rPr>
            <a:pPr algn="ctr"/>
            <a:t>Save-A-Lot Markets</a:t>
          </a:fld>
          <a:endParaRPr lang="en-US" sz="8000">
            <a:solidFill>
              <a:srgbClr val="57B1A1"/>
            </a:solidFill>
          </a:endParaRPr>
        </a:p>
      </xdr:txBody>
    </xdr:sp>
    <xdr:clientData/>
  </xdr:twoCellAnchor>
  <xdr:twoCellAnchor>
    <xdr:from>
      <xdr:col>12</xdr:col>
      <xdr:colOff>397327</xdr:colOff>
      <xdr:row>19</xdr:row>
      <xdr:rowOff>32657</xdr:rowOff>
    </xdr:from>
    <xdr:to>
      <xdr:col>15</xdr:col>
      <xdr:colOff>127906</xdr:colOff>
      <xdr:row>21</xdr:row>
      <xdr:rowOff>84365</xdr:rowOff>
    </xdr:to>
    <xdr:sp macro="" textlink="Analysis!G26">
      <xdr:nvSpPr>
        <xdr:cNvPr id="36" name="TextBox 35">
          <a:extLst>
            <a:ext uri="{FF2B5EF4-FFF2-40B4-BE49-F238E27FC236}">
              <a16:creationId xmlns:a16="http://schemas.microsoft.com/office/drawing/2014/main" id="{F7BD496C-C451-46DB-A80F-87EFFA5E2FCA}"/>
            </a:ext>
          </a:extLst>
        </xdr:cNvPr>
        <xdr:cNvSpPr txBox="1"/>
      </xdr:nvSpPr>
      <xdr:spPr>
        <a:xfrm>
          <a:off x="7745184" y="3652157"/>
          <a:ext cx="1567543" cy="4327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10CD5181-5969-49AA-91E0-D69FB52F499E}" type="TxLink">
            <a:rPr lang="en-US" sz="2400" b="0" i="0" u="none" strike="noStrike">
              <a:solidFill>
                <a:srgbClr val="57B1A1"/>
              </a:solidFill>
              <a:latin typeface="Aptos Narrow"/>
            </a:rPr>
            <a:pPr algn="ctr"/>
            <a:t>Eastern</a:t>
          </a:fld>
          <a:endParaRPr lang="en-US" sz="16600" b="0" i="0" u="none" strike="noStrike">
            <a:solidFill>
              <a:srgbClr val="57B1A1"/>
            </a:solidFill>
            <a:latin typeface="Aptos Narrow"/>
          </a:endParaRPr>
        </a:p>
      </xdr:txBody>
    </xdr:sp>
    <xdr:clientData/>
  </xdr:twoCellAnchor>
  <xdr:twoCellAnchor>
    <xdr:from>
      <xdr:col>12</xdr:col>
      <xdr:colOff>400048</xdr:colOff>
      <xdr:row>17</xdr:row>
      <xdr:rowOff>103415</xdr:rowOff>
    </xdr:from>
    <xdr:to>
      <xdr:col>15</xdr:col>
      <xdr:colOff>130627</xdr:colOff>
      <xdr:row>20</xdr:row>
      <xdr:rowOff>54429</xdr:rowOff>
    </xdr:to>
    <xdr:sp macro="" textlink="Analysis!G25:G26">
      <xdr:nvSpPr>
        <xdr:cNvPr id="37" name="TextBox 36">
          <a:extLst>
            <a:ext uri="{FF2B5EF4-FFF2-40B4-BE49-F238E27FC236}">
              <a16:creationId xmlns:a16="http://schemas.microsoft.com/office/drawing/2014/main" id="{9D3739E8-1499-4D7C-AD51-4F374320B3A1}"/>
            </a:ext>
          </a:extLst>
        </xdr:cNvPr>
        <xdr:cNvSpPr txBox="1"/>
      </xdr:nvSpPr>
      <xdr:spPr>
        <a:xfrm>
          <a:off x="7747905" y="3341915"/>
          <a:ext cx="1567543" cy="5225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400" b="0" i="0" u="none" strike="noStrike">
              <a:solidFill>
                <a:schemeClr val="bg1">
                  <a:lumMod val="50000"/>
                </a:schemeClr>
              </a:solidFill>
              <a:latin typeface="Aptos Narrow"/>
            </a:rPr>
            <a:t>&amp;</a:t>
          </a:r>
          <a:endParaRPr lang="en-US" sz="8000" b="0" i="0" u="none" strike="noStrike">
            <a:solidFill>
              <a:schemeClr val="bg1">
                <a:lumMod val="50000"/>
              </a:schemeClr>
            </a:solidFill>
            <a:latin typeface="Aptos Narrow"/>
          </a:endParaRPr>
        </a:p>
      </xdr:txBody>
    </xdr:sp>
    <xdr:clientData/>
  </xdr:twoCellAnchor>
  <xdr:twoCellAnchor>
    <xdr:from>
      <xdr:col>18</xdr:col>
      <xdr:colOff>421821</xdr:colOff>
      <xdr:row>11</xdr:row>
      <xdr:rowOff>136070</xdr:rowOff>
    </xdr:from>
    <xdr:to>
      <xdr:col>26</xdr:col>
      <xdr:colOff>86591</xdr:colOff>
      <xdr:row>34</xdr:row>
      <xdr:rowOff>122463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817E5710-C64D-40CB-9A69-BDD05E1218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26</xdr:col>
      <xdr:colOff>244929</xdr:colOff>
      <xdr:row>11</xdr:row>
      <xdr:rowOff>170708</xdr:rowOff>
    </xdr:from>
    <xdr:to>
      <xdr:col>34</xdr:col>
      <xdr:colOff>138546</xdr:colOff>
      <xdr:row>34</xdr:row>
      <xdr:rowOff>68036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E68235AE-3319-428F-9EF4-5F8BE27024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</xdr:col>
      <xdr:colOff>414617</xdr:colOff>
      <xdr:row>35</xdr:row>
      <xdr:rowOff>54429</xdr:rowOff>
    </xdr:from>
    <xdr:to>
      <xdr:col>34</xdr:col>
      <xdr:colOff>258535</xdr:colOff>
      <xdr:row>53</xdr:row>
      <xdr:rowOff>11206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A74F2780-1E08-4C44-8F0B-1FEA7BC63F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USSEIN" refreshedDate="45864.548791666668" createdVersion="8" refreshedVersion="8" minRefreshableVersion="3" recordCount="806" xr:uid="{5AF13764-C364-4DD4-8072-15258F6F4DC6}">
  <cacheSource type="worksheet">
    <worksheetSource name="All_Sales"/>
  </cacheSource>
  <cacheFields count="7">
    <cacheField name="EmployeeID" numFmtId="0">
      <sharedItems containsSemiMixedTypes="0" containsString="0" containsNumber="1" containsInteger="1" minValue="1" maxValue="9" count="9">
        <n v="7"/>
        <n v="3"/>
        <n v="8"/>
        <n v="6"/>
        <n v="2"/>
        <n v="4"/>
        <n v="5"/>
        <n v="9"/>
        <n v="1"/>
      </sharedItems>
    </cacheField>
    <cacheField name="RegionDescription" numFmtId="0">
      <sharedItems count="4">
        <s v="Western"/>
        <s v="Southern"/>
        <s v="Northern"/>
        <s v="Eastern"/>
      </sharedItems>
    </cacheField>
    <cacheField name="CompanyName" numFmtId="0">
      <sharedItems count="89">
        <s v="Ana Trujillo Emparedados Y Helados"/>
        <s v="Antonio Moreno Taquería"/>
        <s v="Around The Horn"/>
        <s v="B'S Beverages"/>
        <s v="Berglunds Snabbköp"/>
        <s v="Blondesddsl Père Et Fils"/>
        <s v="Bon App'"/>
        <s v="Bottom-Dollar Markets"/>
        <s v="Bólido Comidas Preparadas"/>
        <s v="Centro Comercial Moctezuma"/>
        <s v="Chop-Suey Chinese"/>
        <s v="Comércio Mineiro"/>
        <s v="Die Wandernde Kuh"/>
        <s v="Drachenblut Delikatessen"/>
        <s v="Du Monde Entier"/>
        <s v="Eastern Connection"/>
        <s v="Ernst Handel"/>
        <s v="Familia Arquibaldo"/>
        <s v="Folk Och Fä Hb"/>
        <s v="Frankenversand"/>
        <s v="Furia Bacalhau E Frutos Do Mar"/>
        <s v="Grosella-Restaurante"/>
        <s v="Galería Del Gastrónomo"/>
        <s v="Godos Cocina Típica"/>
        <s v="Hilarion-Abastos"/>
        <s v="Hanari Carnes"/>
        <s v="Hungry Coyote Import Store"/>
        <s v="Hungry Owl All-Night Grocers"/>
        <s v="Island Trading"/>
        <s v="Königlich Essen"/>
        <s v="Lila-Supermercado"/>
        <s v="La Maison D'Asie"/>
        <s v="Lehmanns Marktstand"/>
        <s v="Lonesome Pine Restaurant"/>
        <s v="Magazzini Alimentari Riuniti"/>
        <s v="Morgenstern Gesundkost"/>
        <s v="Mère Paillarde"/>
        <s v="Old World Delicatessen"/>
        <s v="Ottilies Käseladen"/>
        <s v="Pericles Comidas Clásicas"/>
        <s v="Piccolo Und Mehr"/>
        <s v="Princesa Isabel Vinhos"/>
        <s v="Quick-Stop"/>
        <s v="Que Delícia"/>
        <s v="Queen Cozinha"/>
        <s v="Rattlesnake Canyon Grocery"/>
        <s v="Reggiani Caseifici"/>
        <s v="Ricardo Adocicados"/>
        <s v="Richter Supermarkt"/>
        <s v="Romero Y Tomillo"/>
        <s v="Santé Gourmet"/>
        <s v="Save-A-Lot Markets"/>
        <s v="Seven Seas Imports"/>
        <s v="Simons Bistro"/>
        <s v="Split Rail Beer &amp; Ale"/>
        <s v="Suprêmes Délices"/>
        <s v="The Big Cheese"/>
        <s v="Toms Spezialitäten"/>
        <s v="Tortuga Restaurante"/>
        <s v="Tradição Hipermercados"/>
        <s v="Vaffeljernet"/>
        <s v="Victuailles En Stock"/>
        <s v="Vins Et Alcools Chevalier"/>
        <s v="Wartian Herkku"/>
        <s v="Wellington Importadora"/>
        <s v="White Clover Markets"/>
        <s v="Wolski  Zajazd"/>
        <s v="Alfreds Futterkiste"/>
        <s v="Blauer See Delikatessen"/>
        <s v="Cactus Comidas Para Llevar"/>
        <s v="Consolidated Holdings"/>
        <s v="Folies Gourmandes"/>
        <s v="France Restauration"/>
        <s v="Franchi S.P.A."/>
        <s v="Gourmet Lanchonetes"/>
        <s v="Great Lakes Food Market"/>
        <s v="Lino-Delicateses"/>
        <s v="Laughing Bacchus Wine Cellars"/>
        <s v="Lazy K Kountry Store"/>
        <s v="Let'S Stop N Shop"/>
        <s v="Maison Dewey"/>
        <s v="North/South"/>
        <s v="Océano Atlántico Ltda."/>
        <s v="Rancho Grande"/>
        <s v="Spécialités Du Monde"/>
        <s v="The Cracker Box"/>
        <s v="Trail'S Head Gourmet Provisioners"/>
        <s v="Wilman Kala"/>
        <s v="La Corne D'Abondance"/>
      </sharedItems>
    </cacheField>
    <cacheField name="Year" numFmtId="0">
      <sharedItems containsSemiMixedTypes="0" containsString="0" containsNumber="1" containsInteger="1" minValue="1996" maxValue="1998" count="3">
        <n v="1996"/>
        <n v="1997"/>
        <n v="1998"/>
      </sharedItems>
    </cacheField>
    <cacheField name="Month" numFmtId="0">
      <sharedItems count="12">
        <s v="September"/>
        <s v="November"/>
        <s v="December"/>
        <s v="August"/>
        <s v="July"/>
        <s v="October"/>
        <s v="April"/>
        <s v="June"/>
        <s v="May"/>
        <s v="February"/>
        <s v="March"/>
        <s v="January"/>
      </sharedItems>
    </cacheField>
    <cacheField name="Total Quantity" numFmtId="0">
      <sharedItems containsSemiMixedTypes="0" containsString="0" containsNumber="1" containsInteger="1" minValue="1" maxValue="346" count="180">
        <n v="6"/>
        <n v="24"/>
        <n v="55"/>
        <n v="50"/>
        <n v="39"/>
        <n v="64"/>
        <n v="62"/>
        <n v="43"/>
        <n v="138"/>
        <n v="80"/>
        <n v="15"/>
        <n v="72"/>
        <n v="94"/>
        <n v="81"/>
        <n v="90"/>
        <n v="11"/>
        <n v="57"/>
        <n v="65"/>
        <n v="60"/>
        <n v="40"/>
        <n v="58"/>
        <n v="30"/>
        <n v="18"/>
        <n v="44"/>
        <n v="13"/>
        <n v="35"/>
        <n v="184"/>
        <n v="78"/>
        <n v="165"/>
        <n v="169"/>
        <n v="121"/>
        <n v="120"/>
        <n v="70"/>
        <n v="25"/>
        <n v="140"/>
        <n v="135"/>
        <n v="297"/>
        <n v="59"/>
        <n v="14"/>
        <n v="10"/>
        <n v="85"/>
        <n v="46"/>
        <n v="106"/>
        <n v="102"/>
        <n v="20"/>
        <n v="130"/>
        <n v="125"/>
        <n v="86"/>
        <n v="75"/>
        <n v="74"/>
        <n v="26"/>
        <n v="71"/>
        <n v="76"/>
        <n v="54"/>
        <n v="33"/>
        <n v="69"/>
        <n v="61"/>
        <n v="32"/>
        <n v="108"/>
        <n v="66"/>
        <n v="42"/>
        <n v="16"/>
        <n v="28"/>
        <n v="152"/>
        <n v="109"/>
        <n v="159"/>
        <n v="12"/>
        <n v="164"/>
        <n v="56"/>
        <n v="29"/>
        <n v="175"/>
        <n v="110"/>
        <n v="19"/>
        <n v="48"/>
        <n v="241"/>
        <n v="150"/>
        <n v="176"/>
        <n v="206"/>
        <n v="17"/>
        <n v="38"/>
        <n v="105"/>
        <n v="49"/>
        <n v="52"/>
        <n v="139"/>
        <n v="41"/>
        <n v="27"/>
        <n v="4"/>
        <n v="45"/>
        <n v="83"/>
        <n v="103"/>
        <n v="89"/>
        <n v="96"/>
        <n v="8"/>
        <n v="84"/>
        <n v="87"/>
        <n v="3"/>
        <n v="168"/>
        <n v="63"/>
        <n v="99"/>
        <n v="53"/>
        <n v="51"/>
        <n v="1"/>
        <n v="22"/>
        <n v="9"/>
        <n v="215"/>
        <n v="286"/>
        <n v="100"/>
        <n v="170"/>
        <n v="233"/>
        <n v="285"/>
        <n v="37"/>
        <n v="68"/>
        <n v="93"/>
        <n v="134"/>
        <n v="98"/>
        <n v="2"/>
        <n v="192"/>
        <n v="34"/>
        <n v="5"/>
        <n v="23"/>
        <n v="95"/>
        <n v="126"/>
        <n v="21"/>
        <n v="97"/>
        <n v="31"/>
        <n v="116"/>
        <n v="47"/>
        <n v="36"/>
        <n v="128"/>
        <n v="101"/>
        <n v="82"/>
        <n v="67"/>
        <n v="115"/>
        <n v="203"/>
        <n v="146"/>
        <n v="92"/>
        <n v="182"/>
        <n v="255"/>
        <n v="238"/>
        <n v="148"/>
        <n v="77"/>
        <n v="197"/>
        <n v="143"/>
        <n v="91"/>
        <n v="112"/>
        <n v="311"/>
        <n v="117"/>
        <n v="280"/>
        <n v="204"/>
        <n v="263"/>
        <n v="213"/>
        <n v="73"/>
        <n v="208"/>
        <n v="123"/>
        <n v="137"/>
        <n v="145"/>
        <n v="118"/>
        <n v="113"/>
        <n v="181"/>
        <n v="172"/>
        <n v="200"/>
        <n v="256"/>
        <n v="346"/>
        <n v="207"/>
        <n v="124"/>
        <n v="79"/>
        <n v="155"/>
        <n v="119"/>
        <n v="132"/>
        <n v="107"/>
        <n v="195"/>
        <n v="160"/>
        <n v="245"/>
        <n v="7"/>
        <n v="330"/>
        <n v="173"/>
        <n v="198"/>
        <n v="288"/>
        <n v="111"/>
        <n v="88"/>
      </sharedItems>
    </cacheField>
    <cacheField name="Total Sales" numFmtId="0">
      <sharedItems containsSemiMixedTypes="0" containsString="0" containsNumber="1" minValue="12.5" maxValue="16387.49999" count="786">
        <n v="88.8"/>
        <n v="403.2"/>
        <n v="899"/>
        <n v="480"/>
        <n v="479.4"/>
        <n v="1488.8"/>
        <n v="613.20000000000005"/>
        <n v="2222.4"/>
        <n v="7390.2"/>
        <n v="1176"/>
        <n v="1420"/>
        <n v="88.5"/>
        <n v="2436.1799980000001"/>
        <n v="1549.6"/>
        <n v="1832.8"/>
        <n v="982"/>
        <n v="100.8"/>
        <n v="556.61999730000002"/>
        <n v="1117.5999979999999"/>
        <n v="2169"/>
        <n v="363.59999870000001"/>
        <n v="1614.8"/>
        <n v="1106.4000000000001"/>
        <n v="755"/>
        <n v="86.4"/>
        <n v="447.2"/>
        <n v="268.8"/>
        <n v="950"/>
        <n v="1873.8"/>
        <n v="1689.779998"/>
        <n v="2900"/>
        <n v="2090.879997"/>
        <n v="1614.8799939999999"/>
        <n v="5398.7249959999999"/>
        <n v="814.41999550000003"/>
        <n v="166"/>
        <n v="103.2"/>
        <n v="1809.9999929999999"/>
        <n v="695.62499890000004"/>
        <n v="1903.8"/>
        <n v="3536.59998"/>
        <n v="4307.6399929999998"/>
        <n v="136.2999993"/>
        <n v="1168"/>
        <n v="1101.2"/>
        <n v="136"/>
        <n v="1117.799998"/>
        <n v="1119.9000000000001"/>
        <n v="2122.919997"/>
        <n v="1444.8"/>
        <n v="1552.5999899999999"/>
        <n v="442"/>
        <n v="338"/>
        <n v="1366.399995"/>
        <n v="2645"/>
        <n v="2036.1599920000001"/>
        <n v="1762"/>
        <n v="1313.8199979999999"/>
        <n v="144"/>
        <n v="240.4"/>
        <n v="516.79999999999995"/>
        <n v="1497"/>
        <n v="164.4"/>
        <n v="1050.5999999999999"/>
        <n v="1648.999988"/>
        <n v="1414.8"/>
        <n v="112"/>
        <n v="1167.679997"/>
        <n v="72.959999730000007"/>
        <n v="429.39999970000002"/>
        <n v="642.05999889999998"/>
        <n v="351"/>
        <n v="1584"/>
        <n v="1170.375"/>
        <n v="288"/>
        <n v="424"/>
        <n v="608"/>
        <n v="291.83999979999999"/>
        <n v="1200.8"/>
        <n v="3353.9999979999998"/>
        <n v="1786.879993"/>
        <n v="398.99999969999999"/>
        <n v="934.5"/>
        <n v="3741.299994"/>
        <n v="1504.65"/>
        <n v="568.79999999999995"/>
        <n v="8593.2799680000007"/>
        <n v="1440"/>
        <n v="285.11999950000001"/>
        <n v="716.71999500000004"/>
        <n v="2037.279998"/>
        <n v="2046.2399969999999"/>
        <n v="2924.8"/>
        <n v="3016"/>
        <n v="1743.3599939999999"/>
        <n v="182.4"/>
        <n v="497.51999919999997"/>
        <n v="448"/>
        <n v="863.2799986"/>
        <n v="9210.9"/>
        <n v="1456"/>
        <n v="1618.8799979999999"/>
        <n v="1887.6"/>
        <n v="583.99999939999998"/>
        <n v="4929.2999970000001"/>
        <n v="80.099999870000005"/>
        <n v="349.5"/>
        <n v="818.99999579999997"/>
        <n v="2490.5"/>
        <n v="241.9"/>
        <n v="498.5"/>
        <n v="1058.4000000000001"/>
        <n v="5275.7149650000001"/>
        <n v="2505.5999969999998"/>
        <n v="2556.9499999999998"/>
        <n v="3471.6799970000002"/>
        <n v="1228.7999990000001"/>
        <n v="863.59999389999996"/>
        <n v="352.59999759999999"/>
        <n v="48"/>
        <n v="2390.4"/>
        <n v="141.6"/>
        <n v="4578.4299959999998"/>
        <n v="691.19999740000003"/>
        <n v="2708.8"/>
        <n v="3597.8999979999999"/>
        <n v="336"/>
        <n v="1863.4"/>
        <n v="848.7"/>
        <n v="1191.2"/>
        <n v="420"/>
        <n v="954.4"/>
        <n v="1296"/>
        <n v="834.2"/>
        <n v="1765.6"/>
        <n v="144.80000000000001"/>
        <n v="654.05999980000001"/>
        <n v="538.6"/>
        <n v="121.6"/>
        <n v="440"/>
        <n v="1376"/>
        <n v="1393.1999989999999"/>
        <n v="346.55999969999999"/>
        <n v="517.79999999999995"/>
        <n v="2296"/>
        <n v="642.19999949999999"/>
        <n v="459"/>
        <n v="1208"/>
        <n v="814.5"/>
        <n v="479.75"/>
        <n v="320"/>
        <n v="813.36499430000003"/>
        <n v="749.0624947"/>
        <n v="2082"/>
        <n v="375.5"/>
        <n v="1940.849997"/>
        <n v="1668.1"/>
        <n v="319.19999969999998"/>
        <n v="1640.9999969999999"/>
        <n v="407.6999993"/>
        <n v="2142.9"/>
        <n v="227.99999919999999"/>
        <n v="493"/>
        <n v="477"/>
        <n v="386.2"/>
        <n v="355.5"/>
        <n v="1328"/>
        <n v="139.80000000000001"/>
        <n v="1206.5999999999999"/>
        <n v="3192.65"/>
        <n v="96.5"/>
        <n v="472.5"/>
        <n v="601.82999900000004"/>
        <n v="1459"/>
        <n v="3815.2499939999998"/>
        <n v="1501.0849989999999"/>
        <n v="1503.6"/>
        <n v="136.80000000000001"/>
        <n v="149"/>
        <n v="464"/>
        <n v="330"/>
        <n v="3832.7199970000001"/>
        <n v="520.40999959999999"/>
        <n v="450"/>
        <n v="593.74999949999994"/>
        <n v="1760.9999889999999"/>
        <n v="660"/>
        <n v="360"/>
        <n v="1948.5"/>
        <n v="2549.9999819999998"/>
        <n v="1820.8"/>
        <n v="818.3999996"/>
        <n v="484.26249960000001"/>
        <n v="1930.3999980000001"/>
        <n v="802"/>
        <n v="3118"/>
        <n v="1892.25"/>
        <n v="851.19999929999994"/>
        <n v="966.79999640000005"/>
        <n v="3026.85"/>
        <n v="12.5"/>
        <n v="225.5"/>
        <n v="1890.4999989999999"/>
        <n v="2311.6999999999998"/>
        <n v="2314.1999989999999"/>
        <n v="912"/>
        <n v="216"/>
        <n v="631.6"/>
        <n v="156"/>
        <n v="588.99999949999994"/>
        <n v="708.75"/>
        <n v="397.8"/>
        <n v="1941.9999929999999"/>
        <n v="625.27499899999998"/>
        <n v="63"/>
        <n v="655"/>
        <n v="796.35"/>
        <n v="3063"/>
        <n v="4725"/>
        <n v="3436.4434980000001"/>
        <n v="5754.2149810000001"/>
        <n v="2285.999996"/>
        <n v="2158"/>
        <n v="344"/>
        <n v="1536.799994"/>
        <n v="2713.5"/>
        <n v="1792"/>
        <n v="8623.4500000000007"/>
        <n v="550.58749609999995"/>
        <n v="8665.6749920000002"/>
        <n v="5510.5924610000002"/>
        <n v="1779.1999989999999"/>
        <n v="287.8"/>
        <n v="525.29999629999998"/>
        <n v="224.82999989999999"/>
        <n v="309.99999880000001"/>
        <n v="3687"/>
        <n v="756"/>
        <n v="4985.5"/>
        <n v="1622.4"/>
        <n v="616"/>
        <n v="868.75"/>
        <n v="4337"/>
        <n v="2844.5"/>
        <n v="176.1"/>
        <n v="2545"/>
        <n v="2222.1999989999999"/>
        <n v="321.11999850000001"/>
        <n v="920.1"/>
        <n v="93.5"/>
        <n v="49.8"/>
        <n v="88"/>
        <n v="18.399999999999999"/>
        <n v="1270.7499989999999"/>
        <n v="2301.75"/>
        <n v="1829.756999"/>
        <n v="1423"/>
        <n v="1336.9499989999999"/>
        <n v="1072.425"/>
        <n v="1511.9999989999999"/>
        <n v="1083.1499980000001"/>
        <n v="1677.299994"/>
        <n v="259.50499819999999"/>
        <n v="1609.279996"/>
        <n v="1288.387491"/>
        <n v="230.84999959999999"/>
        <n v="387.5"/>
        <n v="338.2"/>
        <n v="155"/>
        <n v="2775.05"/>
        <n v="683.29999899999996"/>
        <n v="1020"/>
        <n v="3424"/>
        <n v="1498.35"/>
        <n v="1119.9349999999999"/>
        <n v="223.99999919999999"/>
        <n v="722.49999490000005"/>
        <n v="1287.399999"/>
        <n v="604.21499900000003"/>
        <n v="392.19999990000002"/>
        <n v="72"/>
        <n v="4806.9999969999999"/>
        <n v="1402.49999"/>
        <n v="2341.3639920000001"/>
        <n v="378"/>
        <n v="2054"/>
        <n v="353.19999990000002"/>
        <n v="2285"/>
        <n v="880.5"/>
        <n v="3163.2"/>
        <n v="1272"/>
        <n v="575"/>
        <n v="180.48"/>
        <n v="1442.5"/>
        <n v="862.5"/>
        <n v="1535"/>
        <n v="1946.5199970000001"/>
        <n v="236.25"/>
        <n v="1701"/>
        <n v="102.4"/>
        <n v="479.8"/>
        <n v="1441.375"/>
        <n v="2381.0499970000001"/>
        <n v="2048.5"/>
        <n v="997"/>
        <n v="1233.48"/>
        <n v="2864.4999800000001"/>
        <n v="4960.8999999999996"/>
        <n v="562.59999789999995"/>
        <n v="1446"/>
        <n v="2518.9999910000001"/>
        <n v="230.4"/>
        <n v="1080"/>
        <n v="45"/>
        <n v="758.5"/>
        <n v="446.6"/>
        <n v="469.10999959999998"/>
        <n v="415.79999930000002"/>
        <n v="717.6"/>
        <n v="3463"/>
        <n v="903.59999979999998"/>
        <n v="557.5999961"/>
        <n v="1553.4999989999999"/>
        <n v="1504.4999889999999"/>
        <n v="1412"/>
        <n v="720"/>
        <n v="1538.7"/>
        <n v="1583.9999969999999"/>
        <n v="1850"/>
        <n v="805.42499999999995"/>
        <n v="400"/>
        <n v="2720.05"/>
        <n v="55.799999909999997"/>
        <n v="2123.1999999999998"/>
        <n v="608.39999899999998"/>
        <n v="523.25999960000001"/>
        <n v="2622.759998"/>
        <n v="299.25"/>
        <n v="331.1999988"/>
        <n v="57.5"/>
        <n v="278"/>
        <n v="210"/>
        <n v="147"/>
        <n v="1152.5"/>
        <n v="1645"/>
        <n v="465.69999919999998"/>
        <n v="2318.2399949999999"/>
        <n v="1994.399993"/>
        <n v="3603.22"/>
        <n v="1380.6"/>
        <n v="516.4674996"/>
        <n v="536.39999909999995"/>
        <n v="844.25250000000005"/>
        <n v="317.75"/>
        <n v="417.2"/>
        <n v="1295"/>
        <n v="125"/>
        <n v="55.2"/>
        <n v="1591.2499989999999"/>
        <n v="1326.224999"/>
        <n v="235.2"/>
        <n v="1487.999994"/>
        <n v="946"/>
        <n v="2917"/>
        <n v="1434"/>
        <n v="1335"/>
        <n v="114"/>
        <n v="2147.4"/>
        <n v="9194.5599660000007"/>
        <n v="147.9"/>
        <n v="1260"/>
        <n v="2697.5"/>
        <n v="4109.6999969999997"/>
        <n v="1100.9999989999999"/>
        <n v="1078"/>
        <n v="638.5"/>
        <n v="2465.2499979999998"/>
        <n v="639.89999890000001"/>
        <n v="252"/>
        <n v="352"/>
        <n v="110"/>
        <n v="319.2"/>
        <n v="1893"/>
        <n v="1261.875"/>
        <n v="565.5"/>
        <n v="1755"/>
        <n v="1728.524999"/>
        <n v="240"/>
        <n v="2310"/>
        <n v="1768"/>
        <n v="1194"/>
        <n v="1013.744999"/>
        <n v="816.3"/>
        <n v="1249.0999999999999"/>
        <n v="651"/>
        <n v="4180"/>
        <n v="439.2"/>
        <n v="1912.85"/>
        <n v="1404.4499969999999"/>
        <n v="718.0799988"/>
        <n v="851.2"/>
        <n v="558"/>
        <n v="3554.2749749999998"/>
        <n v="10191.700000000001"/>
        <n v="1502.999998"/>
        <n v="1814.8"/>
        <n v="9921.2999729999992"/>
        <n v="731.49999939999998"/>
        <n v="1515.599997"/>
        <n v="4529.8"/>
        <n v="923.87499930000001"/>
        <n v="4825"/>
        <n v="10164.799999999999"/>
        <n v="4464.5999970000003"/>
        <n v="3849.6599940000001"/>
        <n v="3119.999988"/>
        <n v="1194.2699970000001"/>
        <n v="314.75999880000001"/>
        <n v="550"/>
        <n v="636"/>
        <n v="807.38"/>
        <n v="1296.75"/>
        <n v="889.7"/>
        <n v="595.5"/>
        <n v="1227.0199990000001"/>
        <n v="2761.9374979999998"/>
        <n v="1531.0799939999999"/>
        <n v="1830.7799970000001"/>
        <n v="706"/>
        <n v="443.4"/>
        <n v="3868.6"/>
        <n v="507"/>
        <n v="10495.6"/>
        <n v="2388.5"/>
        <n v="889.99999869999999"/>
        <n v="1234.0499990000001"/>
        <n v="192"/>
        <n v="488.69999919999998"/>
        <n v="1624.4999989999999"/>
        <n v="154.39999940000001"/>
        <n v="23.799999830000001"/>
        <n v="517.43999970000004"/>
        <n v="965"/>
        <n v="1472"/>
        <n v="372.37499960000002"/>
        <n v="559.99999930000001"/>
        <n v="914.4"/>
        <n v="1823.8"/>
        <n v="2097.5999980000001"/>
        <n v="3276.0839989999999"/>
        <n v="4666.9399999999996"/>
        <n v="200"/>
        <n v="500"/>
        <n v="2944.399989"/>
        <n v="4707.54"/>
        <n v="3082"/>
        <n v="2196"/>
        <n v="1570"/>
        <n v="2827.9"/>
        <n v="6657.45"/>
        <n v="1638.3999940000001"/>
        <n v="5256.5"/>
        <n v="4371.6000000000004"/>
        <n v="1185.7499969999999"/>
        <n v="6375"/>
        <n v="6475.4"/>
        <n v="1483"/>
        <n v="2018.4999989999999"/>
        <n v="4924.1349650000002"/>
        <n v="1792.7999950000001"/>
        <n v="2444.309996"/>
        <n v="1468.934998"/>
        <n v="2278.4"/>
        <n v="1036.8"/>
        <n v="835.2"/>
        <n v="2942.8125"/>
        <n v="11188.4"/>
        <n v="570"/>
        <n v="695.99999739999998"/>
        <n v="485"/>
        <n v="1989.9999929999999"/>
        <n v="52.35"/>
        <n v="28"/>
        <n v="1505.179989"/>
        <n v="713.3"/>
        <n v="3891"/>
        <n v="2775"/>
        <n v="180.4"/>
        <n v="228"/>
        <n v="1393.24"/>
        <n v="240.1"/>
        <n v="453.99999830000002"/>
        <n v="246.2399996"/>
        <n v="1064"/>
        <n v="4150.05"/>
        <n v="534.85"/>
        <n v="838.45"/>
        <n v="189.99999990000001"/>
        <n v="1130.3999960000001"/>
        <n v="569"/>
        <n v="764.3"/>
        <n v="1684.2750000000001"/>
        <n v="735.99999730000002"/>
        <n v="3160.599995"/>
        <n v="48.75"/>
        <n v="2517.9999969999999"/>
        <n v="812.5"/>
        <n v="2812"/>
        <n v="439.6"/>
        <n v="425.11999839999999"/>
        <n v="471.19999960000001"/>
        <n v="1659.2"/>
        <n v="1546.3"/>
        <n v="3077"/>
        <n v="1151.3999920000001"/>
        <n v="975.87999769999999"/>
        <n v="1054.7999990000001"/>
        <n v="1590.5624889999999"/>
        <n v="629.5"/>
        <n v="2237.4999929999999"/>
        <n v="1193.0099990000001"/>
        <n v="1707.839997"/>
        <n v="1371.7999990000001"/>
        <n v="142.5"/>
        <n v="1388.5"/>
        <n v="1415.9999949999999"/>
        <n v="996"/>
        <n v="2539.6499899999999"/>
        <n v="1180.8799959999999"/>
        <n v="668.79999950000001"/>
        <n v="956.67499329999998"/>
        <n v="642"/>
        <n v="412.35"/>
        <n v="120"/>
        <n v="399.85"/>
        <n v="808"/>
        <n v="471.19999969999998"/>
        <n v="845.79999989999999"/>
        <n v="933.49999960000002"/>
        <n v="514.4"/>
        <n v="282"/>
        <n v="491.5"/>
        <n v="4441.2499969999999"/>
        <n v="390"/>
        <n v="220"/>
        <n v="1500"/>
        <n v="711"/>
        <n v="1064.5"/>
        <n v="709.54999969999994"/>
        <n v="2048.2125000000001"/>
        <n v="1096.2"/>
        <n v="1835.6999969999999"/>
        <n v="625"/>
        <n v="677"/>
        <n v="858"/>
        <n v="730"/>
        <n v="917"/>
        <n v="2148.6299979999999"/>
        <n v="1979.229998"/>
        <n v="792.75"/>
        <n v="843"/>
        <n v="5436"/>
        <n v="717.5"/>
        <n v="877.72500000000002"/>
        <n v="1447.5"/>
        <n v="1309.5"/>
        <n v="525"/>
        <n v="1025.325"/>
        <n v="305"/>
        <n v="150"/>
        <n v="644.79999999999995"/>
        <n v="1098.4599940000001"/>
        <n v="1286.8"/>
        <n v="1772.999998"/>
        <n v="108"/>
        <n v="405.75"/>
        <n v="931.5"/>
        <n v="1485.7999990000001"/>
        <n v="86.85"/>
        <n v="1030.76"/>
        <n v="1692"/>
        <n v="860.1"/>
        <n v="817.875"/>
        <n v="3740"/>
        <n v="2772"/>
        <n v="1966.81"/>
        <n v="4680.8999970000004"/>
        <n v="4705.5"/>
        <n v="5218"/>
        <n v="4288.8499739999997"/>
        <n v="6379.4"/>
        <n v="2966.4999790000002"/>
        <n v="6750"/>
        <n v="1408"/>
        <n v="4813.5"/>
        <n v="4895.4375"/>
        <n v="247.9999991"/>
        <n v="1499.999994"/>
        <n v="2769"/>
        <n v="809.99999869999999"/>
        <n v="863.4299939"/>
        <n v="2307.4"/>
        <n v="250.8"/>
        <n v="1733.06"/>
        <n v="519"/>
        <n v="266"/>
        <n v="1030"/>
        <n v="2825.299998"/>
        <n v="1174.75"/>
        <n v="1078.6875"/>
        <n v="57.799999589999999"/>
        <n v="137.5"/>
        <n v="70"/>
        <n v="60"/>
        <n v="2362.25"/>
        <n v="2368.4599979999998"/>
        <n v="616.5"/>
        <n v="605"/>
        <n v="273.59999900000003"/>
        <n v="131.7499991"/>
        <n v="455.99999830000002"/>
        <n v="329.685"/>
        <n v="710"/>
        <n v="8446.4499930000002"/>
        <n v="1727.5"/>
        <n v="1762.7"/>
        <n v="265.35000000000002"/>
        <n v="1375.649997"/>
        <n v="1402"/>
        <n v="15810"/>
        <n v="475.14999669999997"/>
        <n v="1331.9999949999999"/>
        <n v="3127.5"/>
        <n v="742.5"/>
        <n v="932.05"/>
        <n v="10835.24"/>
        <n v="2023.379997"/>
        <n v="6200.55"/>
        <n v="1342.9499980000001"/>
        <n v="1764"/>
        <n v="920.6"/>
        <n v="10952.84498"/>
        <n v="2160"/>
        <n v="967.81899659999999"/>
        <n v="5502.11"/>
        <n v="189.42"/>
        <n v="1885"/>
        <n v="484.49999960000002"/>
        <n v="122.3999991"/>
        <n v="2825.999996"/>
        <n v="1938.375"/>
        <n v="852"/>
        <n v="211.19999920000001"/>
        <n v="3090"/>
        <n v="243.1799996"/>
        <n v="1659.5349900000001"/>
        <n v="1122.8"/>
        <n v="1051.5"/>
        <n v="291.55"/>
        <n v="649"/>
        <n v="748.79999720000001"/>
        <n v="475.10999859999998"/>
        <n v="35.999999870000003"/>
        <n v="187"/>
        <n v="1629.9749899999999"/>
        <n v="368.93249969999999"/>
        <n v="581"/>
        <n v="1378.0699990000001"/>
        <n v="98.4"/>
        <n v="1575"/>
        <n v="36"/>
        <n v="833"/>
        <n v="637.49999549999995"/>
        <n v="2089.9999979999998"/>
        <n v="295.38"/>
        <n v="1303.194992"/>
        <n v="750.5"/>
        <n v="245"/>
        <n v="30"/>
        <n v="781"/>
        <n v="2220"/>
        <n v="539.39999980000005"/>
        <n v="848"/>
        <n v="2227.8874980000001"/>
        <n v="1410.99999"/>
        <n v="906.92999850000001"/>
        <n v="1197.9499989999999"/>
        <n v="632.39999560000001"/>
        <n v="300"/>
        <n v="1196"/>
        <n v="735"/>
        <n v="3054.9999910000001"/>
        <n v="2633.9"/>
        <n v="3584"/>
        <n v="6306.24"/>
        <n v="560"/>
        <n v="2295.9999910000001"/>
        <n v="2731.875"/>
        <n v="1538.9999989999999"/>
        <n v="16387.49999"/>
        <n v="3812.6999959999998"/>
        <n v="1353.6"/>
        <n v="537.5"/>
        <n v="2027.079986"/>
        <n v="768.75"/>
        <n v="1920.599999"/>
        <n v="76"/>
        <n v="686.7"/>
        <n v="932"/>
        <n v="903.75"/>
        <n v="1255.720499"/>
        <n v="3574.7999970000001"/>
        <n v="11380"/>
        <n v="2984"/>
        <n v="1140"/>
        <n v="406.39999849999998"/>
        <n v="645"/>
        <n v="663.09999949999997"/>
        <n v="1692.799998"/>
        <n v="1838"/>
        <n v="1955.125"/>
        <n v="2602.9999979999998"/>
        <n v="602.39999929999999"/>
        <n v="498.09999649999997"/>
        <n v="3232.7999949999999"/>
        <n v="458.75499960000002"/>
        <n v="799.19999849999999"/>
        <n v="365.89"/>
        <n v="361"/>
        <n v="622.35"/>
        <n v="670"/>
        <n v="2684.4"/>
        <n v="12615.05"/>
        <n v="4330.3999940000003"/>
        <n v="2393.5"/>
        <n v="4011.75"/>
        <n v="720.89999699999998"/>
        <n v="2753.0999980000001"/>
        <n v="892.63999620000004"/>
        <n v="4931.9199820000003"/>
        <n v="1809.75"/>
        <n v="40"/>
        <n v="1811.0999959999999"/>
        <n v="1630"/>
        <n v="232.08499979999999"/>
        <n v="439"/>
        <n v="678"/>
        <n v="2052.5"/>
        <n v="108.5"/>
        <n v="1754.5"/>
        <n v="732.59999970000001"/>
        <n v="2255.4999969999999"/>
        <n v="1209"/>
        <n v="1112"/>
        <n v="4581"/>
        <n v="69.599999999999994"/>
        <n v="326"/>
        <n v="910.4"/>
        <n v="539.5"/>
        <n v="975"/>
        <n v="827.54999859999998"/>
        <n v="1432.7139990000001"/>
        <n v="1974"/>
        <n v="237.9"/>
        <n v="3343.5"/>
        <n v="940.49999930000001"/>
        <n v="628.99999560000003"/>
        <n v="159"/>
        <n v="1788.449989"/>
        <n v="269.99999960000002"/>
        <n v="619.5"/>
        <n v="33.75"/>
        <n v="341.99999969999999"/>
        <n v="140"/>
        <n v="1924.25"/>
        <n v="3523.4"/>
        <n v="928.75"/>
        <n v="8902.5"/>
        <n v="452.9"/>
        <n v="336.8"/>
        <n v="611.29999999999995"/>
        <n v="586"/>
        <n v="427.5"/>
        <n v="591.6"/>
        <n v="686"/>
        <n v="160"/>
      </sharedItems>
    </cacheField>
  </cacheFields>
  <extLst>
    <ext xmlns:x14="http://schemas.microsoft.com/office/spreadsheetml/2009/9/main" uri="{725AE2AE-9491-48be-B2B4-4EB974FC3084}">
      <x14:pivotCacheDefinition pivotCacheId="202266879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6">
  <r>
    <x v="0"/>
    <x v="0"/>
    <x v="0"/>
    <x v="0"/>
    <x v="0"/>
    <x v="0"/>
    <x v="0"/>
  </r>
  <r>
    <x v="1"/>
    <x v="1"/>
    <x v="1"/>
    <x v="0"/>
    <x v="1"/>
    <x v="1"/>
    <x v="1"/>
  </r>
  <r>
    <x v="2"/>
    <x v="2"/>
    <x v="2"/>
    <x v="0"/>
    <x v="2"/>
    <x v="2"/>
    <x v="2"/>
  </r>
  <r>
    <x v="3"/>
    <x v="0"/>
    <x v="2"/>
    <x v="0"/>
    <x v="1"/>
    <x v="3"/>
    <x v="3"/>
  </r>
  <r>
    <x v="0"/>
    <x v="0"/>
    <x v="3"/>
    <x v="0"/>
    <x v="3"/>
    <x v="4"/>
    <x v="4"/>
  </r>
  <r>
    <x v="2"/>
    <x v="2"/>
    <x v="4"/>
    <x v="0"/>
    <x v="3"/>
    <x v="5"/>
    <x v="5"/>
  </r>
  <r>
    <x v="4"/>
    <x v="3"/>
    <x v="4"/>
    <x v="0"/>
    <x v="3"/>
    <x v="6"/>
    <x v="6"/>
  </r>
  <r>
    <x v="1"/>
    <x v="1"/>
    <x v="4"/>
    <x v="0"/>
    <x v="2"/>
    <x v="7"/>
    <x v="7"/>
  </r>
  <r>
    <x v="5"/>
    <x v="3"/>
    <x v="5"/>
    <x v="0"/>
    <x v="1"/>
    <x v="8"/>
    <x v="8"/>
  </r>
  <r>
    <x v="4"/>
    <x v="3"/>
    <x v="5"/>
    <x v="0"/>
    <x v="4"/>
    <x v="3"/>
    <x v="9"/>
  </r>
  <r>
    <x v="6"/>
    <x v="3"/>
    <x v="5"/>
    <x v="0"/>
    <x v="0"/>
    <x v="9"/>
    <x v="10"/>
  </r>
  <r>
    <x v="7"/>
    <x v="2"/>
    <x v="6"/>
    <x v="0"/>
    <x v="5"/>
    <x v="10"/>
    <x v="11"/>
  </r>
  <r>
    <x v="8"/>
    <x v="3"/>
    <x v="6"/>
    <x v="0"/>
    <x v="5"/>
    <x v="11"/>
    <x v="12"/>
  </r>
  <r>
    <x v="1"/>
    <x v="1"/>
    <x v="6"/>
    <x v="0"/>
    <x v="1"/>
    <x v="12"/>
    <x v="13"/>
  </r>
  <r>
    <x v="5"/>
    <x v="3"/>
    <x v="7"/>
    <x v="0"/>
    <x v="2"/>
    <x v="13"/>
    <x v="14"/>
  </r>
  <r>
    <x v="5"/>
    <x v="3"/>
    <x v="8"/>
    <x v="0"/>
    <x v="5"/>
    <x v="14"/>
    <x v="15"/>
  </r>
  <r>
    <x v="5"/>
    <x v="3"/>
    <x v="9"/>
    <x v="0"/>
    <x v="4"/>
    <x v="15"/>
    <x v="16"/>
  </r>
  <r>
    <x v="6"/>
    <x v="3"/>
    <x v="10"/>
    <x v="0"/>
    <x v="4"/>
    <x v="16"/>
    <x v="17"/>
  </r>
  <r>
    <x v="3"/>
    <x v="0"/>
    <x v="10"/>
    <x v="0"/>
    <x v="2"/>
    <x v="17"/>
    <x v="18"/>
  </r>
  <r>
    <x v="2"/>
    <x v="2"/>
    <x v="11"/>
    <x v="0"/>
    <x v="3"/>
    <x v="18"/>
    <x v="19"/>
  </r>
  <r>
    <x v="5"/>
    <x v="3"/>
    <x v="12"/>
    <x v="0"/>
    <x v="1"/>
    <x v="19"/>
    <x v="20"/>
  </r>
  <r>
    <x v="4"/>
    <x v="3"/>
    <x v="12"/>
    <x v="0"/>
    <x v="0"/>
    <x v="20"/>
    <x v="21"/>
  </r>
  <r>
    <x v="3"/>
    <x v="0"/>
    <x v="12"/>
    <x v="0"/>
    <x v="1"/>
    <x v="6"/>
    <x v="22"/>
  </r>
  <r>
    <x v="2"/>
    <x v="2"/>
    <x v="12"/>
    <x v="0"/>
    <x v="0"/>
    <x v="21"/>
    <x v="23"/>
  </r>
  <r>
    <x v="1"/>
    <x v="1"/>
    <x v="13"/>
    <x v="0"/>
    <x v="2"/>
    <x v="22"/>
    <x v="24"/>
  </r>
  <r>
    <x v="5"/>
    <x v="3"/>
    <x v="13"/>
    <x v="0"/>
    <x v="1"/>
    <x v="23"/>
    <x v="25"/>
  </r>
  <r>
    <x v="8"/>
    <x v="3"/>
    <x v="14"/>
    <x v="0"/>
    <x v="0"/>
    <x v="24"/>
    <x v="26"/>
  </r>
  <r>
    <x v="8"/>
    <x v="3"/>
    <x v="15"/>
    <x v="0"/>
    <x v="1"/>
    <x v="25"/>
    <x v="27"/>
  </r>
  <r>
    <x v="7"/>
    <x v="2"/>
    <x v="16"/>
    <x v="0"/>
    <x v="4"/>
    <x v="26"/>
    <x v="28"/>
  </r>
  <r>
    <x v="4"/>
    <x v="3"/>
    <x v="16"/>
    <x v="0"/>
    <x v="1"/>
    <x v="27"/>
    <x v="29"/>
  </r>
  <r>
    <x v="5"/>
    <x v="3"/>
    <x v="16"/>
    <x v="0"/>
    <x v="2"/>
    <x v="28"/>
    <x v="30"/>
  </r>
  <r>
    <x v="3"/>
    <x v="0"/>
    <x v="16"/>
    <x v="0"/>
    <x v="2"/>
    <x v="29"/>
    <x v="31"/>
  </r>
  <r>
    <x v="8"/>
    <x v="3"/>
    <x v="16"/>
    <x v="0"/>
    <x v="4"/>
    <x v="30"/>
    <x v="32"/>
  </r>
  <r>
    <x v="8"/>
    <x v="3"/>
    <x v="16"/>
    <x v="0"/>
    <x v="1"/>
    <x v="31"/>
    <x v="33"/>
  </r>
  <r>
    <x v="5"/>
    <x v="3"/>
    <x v="17"/>
    <x v="0"/>
    <x v="1"/>
    <x v="32"/>
    <x v="34"/>
  </r>
  <r>
    <x v="7"/>
    <x v="2"/>
    <x v="17"/>
    <x v="0"/>
    <x v="2"/>
    <x v="33"/>
    <x v="35"/>
  </r>
  <r>
    <x v="6"/>
    <x v="3"/>
    <x v="18"/>
    <x v="0"/>
    <x v="2"/>
    <x v="0"/>
    <x v="36"/>
  </r>
  <r>
    <x v="4"/>
    <x v="3"/>
    <x v="18"/>
    <x v="0"/>
    <x v="5"/>
    <x v="34"/>
    <x v="37"/>
  </r>
  <r>
    <x v="3"/>
    <x v="0"/>
    <x v="18"/>
    <x v="0"/>
    <x v="4"/>
    <x v="18"/>
    <x v="38"/>
  </r>
  <r>
    <x v="8"/>
    <x v="3"/>
    <x v="19"/>
    <x v="0"/>
    <x v="2"/>
    <x v="30"/>
    <x v="39"/>
  </r>
  <r>
    <x v="5"/>
    <x v="3"/>
    <x v="19"/>
    <x v="0"/>
    <x v="4"/>
    <x v="35"/>
    <x v="40"/>
  </r>
  <r>
    <x v="5"/>
    <x v="3"/>
    <x v="19"/>
    <x v="0"/>
    <x v="5"/>
    <x v="36"/>
    <x v="41"/>
  </r>
  <r>
    <x v="1"/>
    <x v="1"/>
    <x v="20"/>
    <x v="0"/>
    <x v="1"/>
    <x v="21"/>
    <x v="42"/>
  </r>
  <r>
    <x v="5"/>
    <x v="3"/>
    <x v="20"/>
    <x v="0"/>
    <x v="5"/>
    <x v="37"/>
    <x v="43"/>
  </r>
  <r>
    <x v="2"/>
    <x v="2"/>
    <x v="21"/>
    <x v="0"/>
    <x v="4"/>
    <x v="38"/>
    <x v="44"/>
  </r>
  <r>
    <x v="2"/>
    <x v="2"/>
    <x v="22"/>
    <x v="0"/>
    <x v="1"/>
    <x v="39"/>
    <x v="45"/>
  </r>
  <r>
    <x v="0"/>
    <x v="0"/>
    <x v="23"/>
    <x v="0"/>
    <x v="0"/>
    <x v="40"/>
    <x v="46"/>
  </r>
  <r>
    <x v="5"/>
    <x v="3"/>
    <x v="24"/>
    <x v="0"/>
    <x v="4"/>
    <x v="41"/>
    <x v="47"/>
  </r>
  <r>
    <x v="3"/>
    <x v="0"/>
    <x v="24"/>
    <x v="0"/>
    <x v="2"/>
    <x v="42"/>
    <x v="48"/>
  </r>
  <r>
    <x v="1"/>
    <x v="1"/>
    <x v="25"/>
    <x v="0"/>
    <x v="4"/>
    <x v="43"/>
    <x v="49"/>
  </r>
  <r>
    <x v="5"/>
    <x v="3"/>
    <x v="25"/>
    <x v="0"/>
    <x v="4"/>
    <x v="18"/>
    <x v="50"/>
  </r>
  <r>
    <x v="8"/>
    <x v="3"/>
    <x v="26"/>
    <x v="0"/>
    <x v="2"/>
    <x v="44"/>
    <x v="51"/>
  </r>
  <r>
    <x v="1"/>
    <x v="1"/>
    <x v="26"/>
    <x v="0"/>
    <x v="2"/>
    <x v="33"/>
    <x v="52"/>
  </r>
  <r>
    <x v="5"/>
    <x v="3"/>
    <x v="27"/>
    <x v="0"/>
    <x v="2"/>
    <x v="45"/>
    <x v="53"/>
  </r>
  <r>
    <x v="3"/>
    <x v="0"/>
    <x v="27"/>
    <x v="0"/>
    <x v="0"/>
    <x v="46"/>
    <x v="54"/>
  </r>
  <r>
    <x v="0"/>
    <x v="0"/>
    <x v="27"/>
    <x v="0"/>
    <x v="5"/>
    <x v="47"/>
    <x v="55"/>
  </r>
  <r>
    <x v="1"/>
    <x v="1"/>
    <x v="27"/>
    <x v="0"/>
    <x v="0"/>
    <x v="48"/>
    <x v="56"/>
  </r>
  <r>
    <x v="2"/>
    <x v="2"/>
    <x v="27"/>
    <x v="0"/>
    <x v="2"/>
    <x v="49"/>
    <x v="57"/>
  </r>
  <r>
    <x v="1"/>
    <x v="1"/>
    <x v="28"/>
    <x v="0"/>
    <x v="5"/>
    <x v="39"/>
    <x v="58"/>
  </r>
  <r>
    <x v="2"/>
    <x v="2"/>
    <x v="28"/>
    <x v="0"/>
    <x v="5"/>
    <x v="50"/>
    <x v="59"/>
  </r>
  <r>
    <x v="5"/>
    <x v="3"/>
    <x v="28"/>
    <x v="0"/>
    <x v="0"/>
    <x v="23"/>
    <x v="60"/>
  </r>
  <r>
    <x v="8"/>
    <x v="3"/>
    <x v="29"/>
    <x v="0"/>
    <x v="5"/>
    <x v="51"/>
    <x v="61"/>
  </r>
  <r>
    <x v="5"/>
    <x v="3"/>
    <x v="29"/>
    <x v="0"/>
    <x v="5"/>
    <x v="24"/>
    <x v="62"/>
  </r>
  <r>
    <x v="3"/>
    <x v="0"/>
    <x v="30"/>
    <x v="0"/>
    <x v="0"/>
    <x v="16"/>
    <x v="63"/>
  </r>
  <r>
    <x v="1"/>
    <x v="1"/>
    <x v="30"/>
    <x v="0"/>
    <x v="5"/>
    <x v="48"/>
    <x v="64"/>
  </r>
  <r>
    <x v="1"/>
    <x v="1"/>
    <x v="30"/>
    <x v="0"/>
    <x v="3"/>
    <x v="52"/>
    <x v="65"/>
  </r>
  <r>
    <x v="1"/>
    <x v="1"/>
    <x v="30"/>
    <x v="0"/>
    <x v="2"/>
    <x v="38"/>
    <x v="66"/>
  </r>
  <r>
    <x v="8"/>
    <x v="3"/>
    <x v="30"/>
    <x v="0"/>
    <x v="1"/>
    <x v="53"/>
    <x v="67"/>
  </r>
  <r>
    <x v="8"/>
    <x v="3"/>
    <x v="31"/>
    <x v="0"/>
    <x v="2"/>
    <x v="0"/>
    <x v="68"/>
  </r>
  <r>
    <x v="6"/>
    <x v="3"/>
    <x v="31"/>
    <x v="0"/>
    <x v="1"/>
    <x v="19"/>
    <x v="69"/>
  </r>
  <r>
    <x v="3"/>
    <x v="0"/>
    <x v="31"/>
    <x v="0"/>
    <x v="1"/>
    <x v="54"/>
    <x v="70"/>
  </r>
  <r>
    <x v="2"/>
    <x v="2"/>
    <x v="32"/>
    <x v="0"/>
    <x v="3"/>
    <x v="10"/>
    <x v="71"/>
  </r>
  <r>
    <x v="5"/>
    <x v="3"/>
    <x v="32"/>
    <x v="0"/>
    <x v="5"/>
    <x v="55"/>
    <x v="72"/>
  </r>
  <r>
    <x v="5"/>
    <x v="3"/>
    <x v="32"/>
    <x v="0"/>
    <x v="3"/>
    <x v="56"/>
    <x v="73"/>
  </r>
  <r>
    <x v="3"/>
    <x v="0"/>
    <x v="33"/>
    <x v="0"/>
    <x v="0"/>
    <x v="44"/>
    <x v="74"/>
  </r>
  <r>
    <x v="4"/>
    <x v="3"/>
    <x v="33"/>
    <x v="0"/>
    <x v="0"/>
    <x v="24"/>
    <x v="75"/>
  </r>
  <r>
    <x v="4"/>
    <x v="3"/>
    <x v="34"/>
    <x v="0"/>
    <x v="0"/>
    <x v="3"/>
    <x v="76"/>
  </r>
  <r>
    <x v="8"/>
    <x v="3"/>
    <x v="34"/>
    <x v="0"/>
    <x v="3"/>
    <x v="22"/>
    <x v="77"/>
  </r>
  <r>
    <x v="4"/>
    <x v="3"/>
    <x v="35"/>
    <x v="0"/>
    <x v="3"/>
    <x v="57"/>
    <x v="78"/>
  </r>
  <r>
    <x v="4"/>
    <x v="3"/>
    <x v="36"/>
    <x v="0"/>
    <x v="5"/>
    <x v="58"/>
    <x v="79"/>
  </r>
  <r>
    <x v="1"/>
    <x v="1"/>
    <x v="36"/>
    <x v="0"/>
    <x v="5"/>
    <x v="59"/>
    <x v="80"/>
  </r>
  <r>
    <x v="8"/>
    <x v="3"/>
    <x v="36"/>
    <x v="0"/>
    <x v="2"/>
    <x v="60"/>
    <x v="81"/>
  </r>
  <r>
    <x v="5"/>
    <x v="3"/>
    <x v="37"/>
    <x v="0"/>
    <x v="5"/>
    <x v="25"/>
    <x v="82"/>
  </r>
  <r>
    <x v="2"/>
    <x v="2"/>
    <x v="37"/>
    <x v="0"/>
    <x v="0"/>
    <x v="9"/>
    <x v="83"/>
  </r>
  <r>
    <x v="5"/>
    <x v="3"/>
    <x v="38"/>
    <x v="0"/>
    <x v="4"/>
    <x v="43"/>
    <x v="84"/>
  </r>
  <r>
    <x v="2"/>
    <x v="2"/>
    <x v="39"/>
    <x v="0"/>
    <x v="1"/>
    <x v="61"/>
    <x v="85"/>
  </r>
  <r>
    <x v="0"/>
    <x v="0"/>
    <x v="39"/>
    <x v="0"/>
    <x v="5"/>
    <x v="44"/>
    <x v="66"/>
  </r>
  <r>
    <x v="0"/>
    <x v="0"/>
    <x v="40"/>
    <x v="0"/>
    <x v="1"/>
    <x v="6"/>
    <x v="86"/>
  </r>
  <r>
    <x v="4"/>
    <x v="3"/>
    <x v="40"/>
    <x v="0"/>
    <x v="2"/>
    <x v="3"/>
    <x v="87"/>
  </r>
  <r>
    <x v="0"/>
    <x v="0"/>
    <x v="41"/>
    <x v="0"/>
    <x v="5"/>
    <x v="22"/>
    <x v="88"/>
  </r>
  <r>
    <x v="6"/>
    <x v="3"/>
    <x v="41"/>
    <x v="0"/>
    <x v="2"/>
    <x v="62"/>
    <x v="89"/>
  </r>
  <r>
    <x v="1"/>
    <x v="1"/>
    <x v="42"/>
    <x v="0"/>
    <x v="3"/>
    <x v="63"/>
    <x v="90"/>
  </r>
  <r>
    <x v="8"/>
    <x v="3"/>
    <x v="42"/>
    <x v="0"/>
    <x v="1"/>
    <x v="64"/>
    <x v="91"/>
  </r>
  <r>
    <x v="4"/>
    <x v="3"/>
    <x v="42"/>
    <x v="0"/>
    <x v="1"/>
    <x v="65"/>
    <x v="92"/>
  </r>
  <r>
    <x v="2"/>
    <x v="2"/>
    <x v="42"/>
    <x v="0"/>
    <x v="3"/>
    <x v="34"/>
    <x v="93"/>
  </r>
  <r>
    <x v="8"/>
    <x v="3"/>
    <x v="42"/>
    <x v="0"/>
    <x v="3"/>
    <x v="30"/>
    <x v="94"/>
  </r>
  <r>
    <x v="4"/>
    <x v="3"/>
    <x v="42"/>
    <x v="0"/>
    <x v="0"/>
    <x v="66"/>
    <x v="95"/>
  </r>
  <r>
    <x v="3"/>
    <x v="0"/>
    <x v="43"/>
    <x v="0"/>
    <x v="3"/>
    <x v="41"/>
    <x v="96"/>
  </r>
  <r>
    <x v="5"/>
    <x v="3"/>
    <x v="43"/>
    <x v="0"/>
    <x v="4"/>
    <x v="19"/>
    <x v="97"/>
  </r>
  <r>
    <x v="4"/>
    <x v="3"/>
    <x v="43"/>
    <x v="0"/>
    <x v="2"/>
    <x v="23"/>
    <x v="98"/>
  </r>
  <r>
    <x v="6"/>
    <x v="3"/>
    <x v="44"/>
    <x v="0"/>
    <x v="2"/>
    <x v="67"/>
    <x v="99"/>
  </r>
  <r>
    <x v="3"/>
    <x v="0"/>
    <x v="45"/>
    <x v="0"/>
    <x v="3"/>
    <x v="32"/>
    <x v="100"/>
  </r>
  <r>
    <x v="1"/>
    <x v="1"/>
    <x v="45"/>
    <x v="0"/>
    <x v="1"/>
    <x v="68"/>
    <x v="101"/>
  </r>
  <r>
    <x v="5"/>
    <x v="3"/>
    <x v="45"/>
    <x v="0"/>
    <x v="3"/>
    <x v="48"/>
    <x v="102"/>
  </r>
  <r>
    <x v="2"/>
    <x v="2"/>
    <x v="45"/>
    <x v="0"/>
    <x v="4"/>
    <x v="69"/>
    <x v="103"/>
  </r>
  <r>
    <x v="8"/>
    <x v="3"/>
    <x v="45"/>
    <x v="0"/>
    <x v="0"/>
    <x v="70"/>
    <x v="104"/>
  </r>
  <r>
    <x v="5"/>
    <x v="3"/>
    <x v="46"/>
    <x v="0"/>
    <x v="3"/>
    <x v="24"/>
    <x v="105"/>
  </r>
  <r>
    <x v="5"/>
    <x v="3"/>
    <x v="47"/>
    <x v="0"/>
    <x v="0"/>
    <x v="25"/>
    <x v="106"/>
  </r>
  <r>
    <x v="2"/>
    <x v="2"/>
    <x v="47"/>
    <x v="0"/>
    <x v="3"/>
    <x v="48"/>
    <x v="107"/>
  </r>
  <r>
    <x v="7"/>
    <x v="2"/>
    <x v="48"/>
    <x v="0"/>
    <x v="4"/>
    <x v="71"/>
    <x v="108"/>
  </r>
  <r>
    <x v="5"/>
    <x v="3"/>
    <x v="49"/>
    <x v="0"/>
    <x v="3"/>
    <x v="72"/>
    <x v="109"/>
  </r>
  <r>
    <x v="8"/>
    <x v="3"/>
    <x v="49"/>
    <x v="0"/>
    <x v="0"/>
    <x v="33"/>
    <x v="110"/>
  </r>
  <r>
    <x v="8"/>
    <x v="3"/>
    <x v="50"/>
    <x v="0"/>
    <x v="2"/>
    <x v="73"/>
    <x v="111"/>
  </r>
  <r>
    <x v="7"/>
    <x v="2"/>
    <x v="51"/>
    <x v="0"/>
    <x v="5"/>
    <x v="74"/>
    <x v="112"/>
  </r>
  <r>
    <x v="4"/>
    <x v="3"/>
    <x v="51"/>
    <x v="0"/>
    <x v="2"/>
    <x v="75"/>
    <x v="113"/>
  </r>
  <r>
    <x v="8"/>
    <x v="3"/>
    <x v="51"/>
    <x v="0"/>
    <x v="2"/>
    <x v="76"/>
    <x v="114"/>
  </r>
  <r>
    <x v="6"/>
    <x v="3"/>
    <x v="52"/>
    <x v="0"/>
    <x v="1"/>
    <x v="77"/>
    <x v="115"/>
  </r>
  <r>
    <x v="4"/>
    <x v="3"/>
    <x v="52"/>
    <x v="0"/>
    <x v="2"/>
    <x v="48"/>
    <x v="116"/>
  </r>
  <r>
    <x v="8"/>
    <x v="3"/>
    <x v="52"/>
    <x v="0"/>
    <x v="2"/>
    <x v="19"/>
    <x v="117"/>
  </r>
  <r>
    <x v="0"/>
    <x v="0"/>
    <x v="53"/>
    <x v="0"/>
    <x v="5"/>
    <x v="78"/>
    <x v="118"/>
  </r>
  <r>
    <x v="3"/>
    <x v="0"/>
    <x v="54"/>
    <x v="0"/>
    <x v="3"/>
    <x v="1"/>
    <x v="119"/>
  </r>
  <r>
    <x v="2"/>
    <x v="2"/>
    <x v="54"/>
    <x v="0"/>
    <x v="2"/>
    <x v="79"/>
    <x v="120"/>
  </r>
  <r>
    <x v="0"/>
    <x v="0"/>
    <x v="54"/>
    <x v="0"/>
    <x v="1"/>
    <x v="1"/>
    <x v="121"/>
  </r>
  <r>
    <x v="5"/>
    <x v="3"/>
    <x v="54"/>
    <x v="0"/>
    <x v="5"/>
    <x v="3"/>
    <x v="122"/>
  </r>
  <r>
    <x v="8"/>
    <x v="3"/>
    <x v="54"/>
    <x v="0"/>
    <x v="2"/>
    <x v="79"/>
    <x v="123"/>
  </r>
  <r>
    <x v="5"/>
    <x v="3"/>
    <x v="55"/>
    <x v="0"/>
    <x v="0"/>
    <x v="9"/>
    <x v="124"/>
  </r>
  <r>
    <x v="5"/>
    <x v="3"/>
    <x v="55"/>
    <x v="0"/>
    <x v="4"/>
    <x v="80"/>
    <x v="125"/>
  </r>
  <r>
    <x v="2"/>
    <x v="2"/>
    <x v="56"/>
    <x v="0"/>
    <x v="0"/>
    <x v="10"/>
    <x v="126"/>
  </r>
  <r>
    <x v="3"/>
    <x v="0"/>
    <x v="57"/>
    <x v="0"/>
    <x v="4"/>
    <x v="81"/>
    <x v="127"/>
  </r>
  <r>
    <x v="8"/>
    <x v="3"/>
    <x v="58"/>
    <x v="0"/>
    <x v="3"/>
    <x v="54"/>
    <x v="128"/>
  </r>
  <r>
    <x v="0"/>
    <x v="0"/>
    <x v="58"/>
    <x v="0"/>
    <x v="5"/>
    <x v="82"/>
    <x v="129"/>
  </r>
  <r>
    <x v="2"/>
    <x v="2"/>
    <x v="58"/>
    <x v="0"/>
    <x v="3"/>
    <x v="33"/>
    <x v="130"/>
  </r>
  <r>
    <x v="8"/>
    <x v="3"/>
    <x v="58"/>
    <x v="0"/>
    <x v="0"/>
    <x v="60"/>
    <x v="131"/>
  </r>
  <r>
    <x v="8"/>
    <x v="3"/>
    <x v="59"/>
    <x v="0"/>
    <x v="3"/>
    <x v="44"/>
    <x v="132"/>
  </r>
  <r>
    <x v="0"/>
    <x v="0"/>
    <x v="60"/>
    <x v="0"/>
    <x v="1"/>
    <x v="52"/>
    <x v="133"/>
  </r>
  <r>
    <x v="2"/>
    <x v="2"/>
    <x v="60"/>
    <x v="0"/>
    <x v="2"/>
    <x v="83"/>
    <x v="134"/>
  </r>
  <r>
    <x v="2"/>
    <x v="2"/>
    <x v="61"/>
    <x v="0"/>
    <x v="5"/>
    <x v="22"/>
    <x v="135"/>
  </r>
  <r>
    <x v="1"/>
    <x v="1"/>
    <x v="61"/>
    <x v="0"/>
    <x v="4"/>
    <x v="84"/>
    <x v="136"/>
  </r>
  <r>
    <x v="3"/>
    <x v="0"/>
    <x v="62"/>
    <x v="0"/>
    <x v="3"/>
    <x v="85"/>
    <x v="137"/>
  </r>
  <r>
    <x v="4"/>
    <x v="3"/>
    <x v="62"/>
    <x v="0"/>
    <x v="0"/>
    <x v="86"/>
    <x v="138"/>
  </r>
  <r>
    <x v="6"/>
    <x v="3"/>
    <x v="62"/>
    <x v="0"/>
    <x v="4"/>
    <x v="85"/>
    <x v="139"/>
  </r>
  <r>
    <x v="8"/>
    <x v="3"/>
    <x v="63"/>
    <x v="0"/>
    <x v="3"/>
    <x v="2"/>
    <x v="140"/>
  </r>
  <r>
    <x v="6"/>
    <x v="3"/>
    <x v="63"/>
    <x v="0"/>
    <x v="5"/>
    <x v="14"/>
    <x v="141"/>
  </r>
  <r>
    <x v="1"/>
    <x v="1"/>
    <x v="63"/>
    <x v="0"/>
    <x v="4"/>
    <x v="66"/>
    <x v="142"/>
  </r>
  <r>
    <x v="1"/>
    <x v="1"/>
    <x v="64"/>
    <x v="0"/>
    <x v="4"/>
    <x v="85"/>
    <x v="143"/>
  </r>
  <r>
    <x v="5"/>
    <x v="3"/>
    <x v="65"/>
    <x v="0"/>
    <x v="1"/>
    <x v="80"/>
    <x v="144"/>
  </r>
  <r>
    <x v="6"/>
    <x v="3"/>
    <x v="65"/>
    <x v="0"/>
    <x v="4"/>
    <x v="9"/>
    <x v="145"/>
  </r>
  <r>
    <x v="8"/>
    <x v="3"/>
    <x v="66"/>
    <x v="0"/>
    <x v="2"/>
    <x v="87"/>
    <x v="146"/>
  </r>
  <r>
    <x v="5"/>
    <x v="3"/>
    <x v="67"/>
    <x v="1"/>
    <x v="5"/>
    <x v="84"/>
    <x v="147"/>
  </r>
  <r>
    <x v="3"/>
    <x v="0"/>
    <x v="67"/>
    <x v="1"/>
    <x v="3"/>
    <x v="79"/>
    <x v="148"/>
  </r>
  <r>
    <x v="1"/>
    <x v="1"/>
    <x v="0"/>
    <x v="1"/>
    <x v="3"/>
    <x v="22"/>
    <x v="149"/>
  </r>
  <r>
    <x v="1"/>
    <x v="1"/>
    <x v="0"/>
    <x v="1"/>
    <x v="1"/>
    <x v="39"/>
    <x v="150"/>
  </r>
  <r>
    <x v="8"/>
    <x v="3"/>
    <x v="1"/>
    <x v="1"/>
    <x v="0"/>
    <x v="79"/>
    <x v="151"/>
  </r>
  <r>
    <x v="0"/>
    <x v="0"/>
    <x v="1"/>
    <x v="1"/>
    <x v="6"/>
    <x v="21"/>
    <x v="152"/>
  </r>
  <r>
    <x v="0"/>
    <x v="0"/>
    <x v="1"/>
    <x v="1"/>
    <x v="7"/>
    <x v="88"/>
    <x v="153"/>
  </r>
  <r>
    <x v="1"/>
    <x v="1"/>
    <x v="1"/>
    <x v="1"/>
    <x v="0"/>
    <x v="5"/>
    <x v="154"/>
  </r>
  <r>
    <x v="5"/>
    <x v="3"/>
    <x v="1"/>
    <x v="1"/>
    <x v="8"/>
    <x v="9"/>
    <x v="155"/>
  </r>
  <r>
    <x v="1"/>
    <x v="1"/>
    <x v="2"/>
    <x v="1"/>
    <x v="2"/>
    <x v="89"/>
    <x v="156"/>
  </r>
  <r>
    <x v="8"/>
    <x v="3"/>
    <x v="2"/>
    <x v="1"/>
    <x v="1"/>
    <x v="62"/>
    <x v="157"/>
  </r>
  <r>
    <x v="5"/>
    <x v="3"/>
    <x v="2"/>
    <x v="1"/>
    <x v="5"/>
    <x v="90"/>
    <x v="158"/>
  </r>
  <r>
    <x v="8"/>
    <x v="3"/>
    <x v="2"/>
    <x v="1"/>
    <x v="9"/>
    <x v="19"/>
    <x v="159"/>
  </r>
  <r>
    <x v="8"/>
    <x v="3"/>
    <x v="2"/>
    <x v="1"/>
    <x v="7"/>
    <x v="91"/>
    <x v="160"/>
  </r>
  <r>
    <x v="5"/>
    <x v="3"/>
    <x v="2"/>
    <x v="1"/>
    <x v="1"/>
    <x v="10"/>
    <x v="161"/>
  </r>
  <r>
    <x v="3"/>
    <x v="0"/>
    <x v="3"/>
    <x v="1"/>
    <x v="4"/>
    <x v="39"/>
    <x v="162"/>
  </r>
  <r>
    <x v="5"/>
    <x v="3"/>
    <x v="3"/>
    <x v="1"/>
    <x v="7"/>
    <x v="50"/>
    <x v="163"/>
  </r>
  <r>
    <x v="1"/>
    <x v="1"/>
    <x v="3"/>
    <x v="1"/>
    <x v="10"/>
    <x v="85"/>
    <x v="164"/>
  </r>
  <r>
    <x v="3"/>
    <x v="0"/>
    <x v="3"/>
    <x v="1"/>
    <x v="8"/>
    <x v="23"/>
    <x v="165"/>
  </r>
  <r>
    <x v="4"/>
    <x v="3"/>
    <x v="3"/>
    <x v="1"/>
    <x v="10"/>
    <x v="3"/>
    <x v="166"/>
  </r>
  <r>
    <x v="7"/>
    <x v="2"/>
    <x v="3"/>
    <x v="1"/>
    <x v="8"/>
    <x v="92"/>
    <x v="167"/>
  </r>
  <r>
    <x v="1"/>
    <x v="1"/>
    <x v="4"/>
    <x v="1"/>
    <x v="9"/>
    <x v="93"/>
    <x v="168"/>
  </r>
  <r>
    <x v="8"/>
    <x v="3"/>
    <x v="4"/>
    <x v="1"/>
    <x v="8"/>
    <x v="94"/>
    <x v="169"/>
  </r>
  <r>
    <x v="1"/>
    <x v="1"/>
    <x v="4"/>
    <x v="1"/>
    <x v="2"/>
    <x v="39"/>
    <x v="170"/>
  </r>
  <r>
    <x v="8"/>
    <x v="3"/>
    <x v="4"/>
    <x v="1"/>
    <x v="5"/>
    <x v="25"/>
    <x v="171"/>
  </r>
  <r>
    <x v="6"/>
    <x v="3"/>
    <x v="4"/>
    <x v="1"/>
    <x v="0"/>
    <x v="79"/>
    <x v="172"/>
  </r>
  <r>
    <x v="8"/>
    <x v="3"/>
    <x v="4"/>
    <x v="1"/>
    <x v="1"/>
    <x v="56"/>
    <x v="173"/>
  </r>
  <r>
    <x v="7"/>
    <x v="2"/>
    <x v="4"/>
    <x v="1"/>
    <x v="0"/>
    <x v="85"/>
    <x v="174"/>
  </r>
  <r>
    <x v="1"/>
    <x v="1"/>
    <x v="4"/>
    <x v="1"/>
    <x v="7"/>
    <x v="94"/>
    <x v="175"/>
  </r>
  <r>
    <x v="8"/>
    <x v="3"/>
    <x v="4"/>
    <x v="1"/>
    <x v="3"/>
    <x v="82"/>
    <x v="176"/>
  </r>
  <r>
    <x v="5"/>
    <x v="3"/>
    <x v="68"/>
    <x v="1"/>
    <x v="6"/>
    <x v="95"/>
    <x v="177"/>
  </r>
  <r>
    <x v="7"/>
    <x v="2"/>
    <x v="68"/>
    <x v="1"/>
    <x v="6"/>
    <x v="44"/>
    <x v="178"/>
  </r>
  <r>
    <x v="2"/>
    <x v="2"/>
    <x v="68"/>
    <x v="1"/>
    <x v="4"/>
    <x v="85"/>
    <x v="179"/>
  </r>
  <r>
    <x v="1"/>
    <x v="1"/>
    <x v="68"/>
    <x v="1"/>
    <x v="7"/>
    <x v="22"/>
    <x v="180"/>
  </r>
  <r>
    <x v="1"/>
    <x v="1"/>
    <x v="5"/>
    <x v="1"/>
    <x v="9"/>
    <x v="96"/>
    <x v="181"/>
  </r>
  <r>
    <x v="3"/>
    <x v="0"/>
    <x v="5"/>
    <x v="1"/>
    <x v="7"/>
    <x v="21"/>
    <x v="182"/>
  </r>
  <r>
    <x v="5"/>
    <x v="3"/>
    <x v="5"/>
    <x v="1"/>
    <x v="3"/>
    <x v="33"/>
    <x v="183"/>
  </r>
  <r>
    <x v="5"/>
    <x v="3"/>
    <x v="5"/>
    <x v="1"/>
    <x v="7"/>
    <x v="3"/>
    <x v="184"/>
  </r>
  <r>
    <x v="7"/>
    <x v="2"/>
    <x v="5"/>
    <x v="1"/>
    <x v="7"/>
    <x v="97"/>
    <x v="185"/>
  </r>
  <r>
    <x v="2"/>
    <x v="2"/>
    <x v="5"/>
    <x v="1"/>
    <x v="0"/>
    <x v="66"/>
    <x v="186"/>
  </r>
  <r>
    <x v="1"/>
    <x v="1"/>
    <x v="6"/>
    <x v="1"/>
    <x v="1"/>
    <x v="44"/>
    <x v="187"/>
  </r>
  <r>
    <x v="5"/>
    <x v="3"/>
    <x v="6"/>
    <x v="1"/>
    <x v="1"/>
    <x v="98"/>
    <x v="188"/>
  </r>
  <r>
    <x v="5"/>
    <x v="3"/>
    <x v="6"/>
    <x v="1"/>
    <x v="6"/>
    <x v="71"/>
    <x v="189"/>
  </r>
  <r>
    <x v="5"/>
    <x v="3"/>
    <x v="6"/>
    <x v="1"/>
    <x v="10"/>
    <x v="99"/>
    <x v="190"/>
  </r>
  <r>
    <x v="8"/>
    <x v="3"/>
    <x v="6"/>
    <x v="1"/>
    <x v="8"/>
    <x v="87"/>
    <x v="191"/>
  </r>
  <r>
    <x v="1"/>
    <x v="1"/>
    <x v="6"/>
    <x v="1"/>
    <x v="5"/>
    <x v="100"/>
    <x v="132"/>
  </r>
  <r>
    <x v="6"/>
    <x v="3"/>
    <x v="6"/>
    <x v="1"/>
    <x v="1"/>
    <x v="62"/>
    <x v="192"/>
  </r>
  <r>
    <x v="4"/>
    <x v="3"/>
    <x v="6"/>
    <x v="1"/>
    <x v="0"/>
    <x v="9"/>
    <x v="193"/>
  </r>
  <r>
    <x v="1"/>
    <x v="1"/>
    <x v="7"/>
    <x v="1"/>
    <x v="11"/>
    <x v="17"/>
    <x v="194"/>
  </r>
  <r>
    <x v="1"/>
    <x v="1"/>
    <x v="7"/>
    <x v="1"/>
    <x v="1"/>
    <x v="80"/>
    <x v="195"/>
  </r>
  <r>
    <x v="5"/>
    <x v="3"/>
    <x v="7"/>
    <x v="1"/>
    <x v="11"/>
    <x v="45"/>
    <x v="196"/>
  </r>
  <r>
    <x v="1"/>
    <x v="1"/>
    <x v="7"/>
    <x v="1"/>
    <x v="6"/>
    <x v="9"/>
    <x v="197"/>
  </r>
  <r>
    <x v="7"/>
    <x v="2"/>
    <x v="7"/>
    <x v="1"/>
    <x v="11"/>
    <x v="49"/>
    <x v="198"/>
  </r>
  <r>
    <x v="5"/>
    <x v="3"/>
    <x v="8"/>
    <x v="1"/>
    <x v="2"/>
    <x v="18"/>
    <x v="199"/>
  </r>
  <r>
    <x v="7"/>
    <x v="2"/>
    <x v="69"/>
    <x v="1"/>
    <x v="2"/>
    <x v="101"/>
    <x v="200"/>
  </r>
  <r>
    <x v="2"/>
    <x v="2"/>
    <x v="69"/>
    <x v="1"/>
    <x v="6"/>
    <x v="72"/>
    <x v="201"/>
  </r>
  <r>
    <x v="0"/>
    <x v="0"/>
    <x v="10"/>
    <x v="1"/>
    <x v="1"/>
    <x v="32"/>
    <x v="202"/>
  </r>
  <r>
    <x v="8"/>
    <x v="3"/>
    <x v="10"/>
    <x v="1"/>
    <x v="1"/>
    <x v="88"/>
    <x v="203"/>
  </r>
  <r>
    <x v="3"/>
    <x v="0"/>
    <x v="10"/>
    <x v="1"/>
    <x v="6"/>
    <x v="59"/>
    <x v="204"/>
  </r>
  <r>
    <x v="5"/>
    <x v="3"/>
    <x v="11"/>
    <x v="1"/>
    <x v="6"/>
    <x v="21"/>
    <x v="205"/>
  </r>
  <r>
    <x v="5"/>
    <x v="3"/>
    <x v="11"/>
    <x v="1"/>
    <x v="10"/>
    <x v="10"/>
    <x v="206"/>
  </r>
  <r>
    <x v="2"/>
    <x v="2"/>
    <x v="70"/>
    <x v="1"/>
    <x v="9"/>
    <x v="57"/>
    <x v="207"/>
  </r>
  <r>
    <x v="4"/>
    <x v="3"/>
    <x v="70"/>
    <x v="1"/>
    <x v="10"/>
    <x v="102"/>
    <x v="208"/>
  </r>
  <r>
    <x v="2"/>
    <x v="2"/>
    <x v="12"/>
    <x v="1"/>
    <x v="3"/>
    <x v="3"/>
    <x v="209"/>
  </r>
  <r>
    <x v="5"/>
    <x v="3"/>
    <x v="12"/>
    <x v="1"/>
    <x v="3"/>
    <x v="25"/>
    <x v="210"/>
  </r>
  <r>
    <x v="2"/>
    <x v="2"/>
    <x v="12"/>
    <x v="1"/>
    <x v="0"/>
    <x v="57"/>
    <x v="211"/>
  </r>
  <r>
    <x v="0"/>
    <x v="0"/>
    <x v="12"/>
    <x v="1"/>
    <x v="6"/>
    <x v="80"/>
    <x v="212"/>
  </r>
  <r>
    <x v="8"/>
    <x v="3"/>
    <x v="12"/>
    <x v="1"/>
    <x v="0"/>
    <x v="85"/>
    <x v="213"/>
  </r>
  <r>
    <x v="0"/>
    <x v="0"/>
    <x v="13"/>
    <x v="1"/>
    <x v="2"/>
    <x v="44"/>
    <x v="130"/>
  </r>
  <r>
    <x v="4"/>
    <x v="3"/>
    <x v="14"/>
    <x v="1"/>
    <x v="0"/>
    <x v="103"/>
    <x v="214"/>
  </r>
  <r>
    <x v="0"/>
    <x v="0"/>
    <x v="14"/>
    <x v="1"/>
    <x v="4"/>
    <x v="72"/>
    <x v="75"/>
  </r>
  <r>
    <x v="5"/>
    <x v="3"/>
    <x v="15"/>
    <x v="1"/>
    <x v="1"/>
    <x v="21"/>
    <x v="215"/>
  </r>
  <r>
    <x v="0"/>
    <x v="0"/>
    <x v="15"/>
    <x v="1"/>
    <x v="8"/>
    <x v="4"/>
    <x v="216"/>
  </r>
  <r>
    <x v="8"/>
    <x v="3"/>
    <x v="15"/>
    <x v="1"/>
    <x v="11"/>
    <x v="47"/>
    <x v="217"/>
  </r>
  <r>
    <x v="4"/>
    <x v="3"/>
    <x v="16"/>
    <x v="1"/>
    <x v="4"/>
    <x v="104"/>
    <x v="218"/>
  </r>
  <r>
    <x v="5"/>
    <x v="3"/>
    <x v="16"/>
    <x v="1"/>
    <x v="5"/>
    <x v="58"/>
    <x v="219"/>
  </r>
  <r>
    <x v="5"/>
    <x v="3"/>
    <x v="16"/>
    <x v="1"/>
    <x v="11"/>
    <x v="105"/>
    <x v="220"/>
  </r>
  <r>
    <x v="3"/>
    <x v="0"/>
    <x v="16"/>
    <x v="1"/>
    <x v="2"/>
    <x v="75"/>
    <x v="221"/>
  </r>
  <r>
    <x v="2"/>
    <x v="2"/>
    <x v="16"/>
    <x v="1"/>
    <x v="2"/>
    <x v="106"/>
    <x v="222"/>
  </r>
  <r>
    <x v="7"/>
    <x v="2"/>
    <x v="16"/>
    <x v="1"/>
    <x v="2"/>
    <x v="61"/>
    <x v="223"/>
  </r>
  <r>
    <x v="0"/>
    <x v="0"/>
    <x v="16"/>
    <x v="1"/>
    <x v="0"/>
    <x v="37"/>
    <x v="224"/>
  </r>
  <r>
    <x v="2"/>
    <x v="2"/>
    <x v="16"/>
    <x v="1"/>
    <x v="11"/>
    <x v="46"/>
    <x v="225"/>
  </r>
  <r>
    <x v="1"/>
    <x v="1"/>
    <x v="16"/>
    <x v="1"/>
    <x v="9"/>
    <x v="107"/>
    <x v="226"/>
  </r>
  <r>
    <x v="1"/>
    <x v="1"/>
    <x v="16"/>
    <x v="1"/>
    <x v="6"/>
    <x v="108"/>
    <x v="227"/>
  </r>
  <r>
    <x v="2"/>
    <x v="2"/>
    <x v="16"/>
    <x v="1"/>
    <x v="7"/>
    <x v="4"/>
    <x v="228"/>
  </r>
  <r>
    <x v="8"/>
    <x v="3"/>
    <x v="16"/>
    <x v="1"/>
    <x v="2"/>
    <x v="109"/>
    <x v="229"/>
  </r>
  <r>
    <x v="0"/>
    <x v="0"/>
    <x v="16"/>
    <x v="1"/>
    <x v="3"/>
    <x v="67"/>
    <x v="230"/>
  </r>
  <r>
    <x v="6"/>
    <x v="3"/>
    <x v="17"/>
    <x v="1"/>
    <x v="3"/>
    <x v="40"/>
    <x v="231"/>
  </r>
  <r>
    <x v="5"/>
    <x v="3"/>
    <x v="17"/>
    <x v="1"/>
    <x v="5"/>
    <x v="102"/>
    <x v="232"/>
  </r>
  <r>
    <x v="0"/>
    <x v="0"/>
    <x v="17"/>
    <x v="1"/>
    <x v="6"/>
    <x v="110"/>
    <x v="233"/>
  </r>
  <r>
    <x v="4"/>
    <x v="3"/>
    <x v="17"/>
    <x v="1"/>
    <x v="11"/>
    <x v="111"/>
    <x v="234"/>
  </r>
  <r>
    <x v="1"/>
    <x v="1"/>
    <x v="17"/>
    <x v="1"/>
    <x v="7"/>
    <x v="3"/>
    <x v="235"/>
  </r>
  <r>
    <x v="8"/>
    <x v="3"/>
    <x v="71"/>
    <x v="1"/>
    <x v="2"/>
    <x v="112"/>
    <x v="236"/>
  </r>
  <r>
    <x v="3"/>
    <x v="0"/>
    <x v="71"/>
    <x v="1"/>
    <x v="10"/>
    <x v="60"/>
    <x v="237"/>
  </r>
  <r>
    <x v="5"/>
    <x v="3"/>
    <x v="71"/>
    <x v="1"/>
    <x v="3"/>
    <x v="43"/>
    <x v="238"/>
  </r>
  <r>
    <x v="2"/>
    <x v="2"/>
    <x v="71"/>
    <x v="1"/>
    <x v="11"/>
    <x v="100"/>
    <x v="239"/>
  </r>
  <r>
    <x v="1"/>
    <x v="1"/>
    <x v="71"/>
    <x v="1"/>
    <x v="2"/>
    <x v="59"/>
    <x v="240"/>
  </r>
  <r>
    <x v="5"/>
    <x v="3"/>
    <x v="18"/>
    <x v="1"/>
    <x v="2"/>
    <x v="82"/>
    <x v="241"/>
  </r>
  <r>
    <x v="1"/>
    <x v="1"/>
    <x v="18"/>
    <x v="1"/>
    <x v="2"/>
    <x v="113"/>
    <x v="242"/>
  </r>
  <r>
    <x v="4"/>
    <x v="3"/>
    <x v="18"/>
    <x v="1"/>
    <x v="7"/>
    <x v="18"/>
    <x v="243"/>
  </r>
  <r>
    <x v="2"/>
    <x v="2"/>
    <x v="18"/>
    <x v="1"/>
    <x v="9"/>
    <x v="33"/>
    <x v="244"/>
  </r>
  <r>
    <x v="3"/>
    <x v="0"/>
    <x v="18"/>
    <x v="1"/>
    <x v="5"/>
    <x v="48"/>
    <x v="245"/>
  </r>
  <r>
    <x v="2"/>
    <x v="2"/>
    <x v="18"/>
    <x v="1"/>
    <x v="8"/>
    <x v="114"/>
    <x v="246"/>
  </r>
  <r>
    <x v="1"/>
    <x v="1"/>
    <x v="18"/>
    <x v="1"/>
    <x v="9"/>
    <x v="1"/>
    <x v="247"/>
  </r>
  <r>
    <x v="8"/>
    <x v="3"/>
    <x v="72"/>
    <x v="1"/>
    <x v="0"/>
    <x v="57"/>
    <x v="248"/>
  </r>
  <r>
    <x v="8"/>
    <x v="3"/>
    <x v="73"/>
    <x v="1"/>
    <x v="5"/>
    <x v="39"/>
    <x v="249"/>
  </r>
  <r>
    <x v="4"/>
    <x v="3"/>
    <x v="73"/>
    <x v="1"/>
    <x v="11"/>
    <x v="115"/>
    <x v="250"/>
  </r>
  <r>
    <x v="1"/>
    <x v="1"/>
    <x v="73"/>
    <x v="1"/>
    <x v="1"/>
    <x v="103"/>
    <x v="251"/>
  </r>
  <r>
    <x v="5"/>
    <x v="3"/>
    <x v="73"/>
    <x v="1"/>
    <x v="2"/>
    <x v="101"/>
    <x v="252"/>
  </r>
  <r>
    <x v="8"/>
    <x v="3"/>
    <x v="19"/>
    <x v="1"/>
    <x v="5"/>
    <x v="11"/>
    <x v="253"/>
  </r>
  <r>
    <x v="5"/>
    <x v="3"/>
    <x v="19"/>
    <x v="1"/>
    <x v="0"/>
    <x v="116"/>
    <x v="254"/>
  </r>
  <r>
    <x v="3"/>
    <x v="0"/>
    <x v="19"/>
    <x v="1"/>
    <x v="2"/>
    <x v="117"/>
    <x v="255"/>
  </r>
  <r>
    <x v="6"/>
    <x v="3"/>
    <x v="19"/>
    <x v="1"/>
    <x v="0"/>
    <x v="32"/>
    <x v="256"/>
  </r>
  <r>
    <x v="2"/>
    <x v="2"/>
    <x v="19"/>
    <x v="1"/>
    <x v="3"/>
    <x v="12"/>
    <x v="257"/>
  </r>
  <r>
    <x v="2"/>
    <x v="2"/>
    <x v="19"/>
    <x v="1"/>
    <x v="7"/>
    <x v="25"/>
    <x v="258"/>
  </r>
  <r>
    <x v="2"/>
    <x v="2"/>
    <x v="19"/>
    <x v="1"/>
    <x v="10"/>
    <x v="3"/>
    <x v="259"/>
  </r>
  <r>
    <x v="8"/>
    <x v="3"/>
    <x v="19"/>
    <x v="1"/>
    <x v="0"/>
    <x v="3"/>
    <x v="260"/>
  </r>
  <r>
    <x v="5"/>
    <x v="3"/>
    <x v="20"/>
    <x v="1"/>
    <x v="8"/>
    <x v="106"/>
    <x v="261"/>
  </r>
  <r>
    <x v="2"/>
    <x v="2"/>
    <x v="20"/>
    <x v="1"/>
    <x v="10"/>
    <x v="102"/>
    <x v="262"/>
  </r>
  <r>
    <x v="5"/>
    <x v="3"/>
    <x v="20"/>
    <x v="1"/>
    <x v="10"/>
    <x v="55"/>
    <x v="263"/>
  </r>
  <r>
    <x v="8"/>
    <x v="3"/>
    <x v="20"/>
    <x v="1"/>
    <x v="0"/>
    <x v="100"/>
    <x v="264"/>
  </r>
  <r>
    <x v="8"/>
    <x v="3"/>
    <x v="20"/>
    <x v="1"/>
    <x v="4"/>
    <x v="61"/>
    <x v="265"/>
  </r>
  <r>
    <x v="8"/>
    <x v="3"/>
    <x v="21"/>
    <x v="1"/>
    <x v="2"/>
    <x v="44"/>
    <x v="266"/>
  </r>
  <r>
    <x v="5"/>
    <x v="3"/>
    <x v="22"/>
    <x v="1"/>
    <x v="11"/>
    <x v="66"/>
    <x v="267"/>
  </r>
  <r>
    <x v="1"/>
    <x v="1"/>
    <x v="22"/>
    <x v="1"/>
    <x v="7"/>
    <x v="118"/>
    <x v="268"/>
  </r>
  <r>
    <x v="5"/>
    <x v="3"/>
    <x v="23"/>
    <x v="1"/>
    <x v="3"/>
    <x v="69"/>
    <x v="269"/>
  </r>
  <r>
    <x v="0"/>
    <x v="0"/>
    <x v="23"/>
    <x v="1"/>
    <x v="8"/>
    <x v="117"/>
    <x v="270"/>
  </r>
  <r>
    <x v="3"/>
    <x v="0"/>
    <x v="74"/>
    <x v="1"/>
    <x v="11"/>
    <x v="117"/>
    <x v="271"/>
  </r>
  <r>
    <x v="8"/>
    <x v="3"/>
    <x v="74"/>
    <x v="1"/>
    <x v="5"/>
    <x v="27"/>
    <x v="272"/>
  </r>
  <r>
    <x v="4"/>
    <x v="3"/>
    <x v="74"/>
    <x v="1"/>
    <x v="1"/>
    <x v="17"/>
    <x v="273"/>
  </r>
  <r>
    <x v="5"/>
    <x v="3"/>
    <x v="74"/>
    <x v="1"/>
    <x v="0"/>
    <x v="56"/>
    <x v="274"/>
  </r>
  <r>
    <x v="0"/>
    <x v="0"/>
    <x v="74"/>
    <x v="1"/>
    <x v="2"/>
    <x v="44"/>
    <x v="275"/>
  </r>
  <r>
    <x v="3"/>
    <x v="0"/>
    <x v="74"/>
    <x v="1"/>
    <x v="2"/>
    <x v="119"/>
    <x v="276"/>
  </r>
  <r>
    <x v="1"/>
    <x v="1"/>
    <x v="75"/>
    <x v="1"/>
    <x v="0"/>
    <x v="32"/>
    <x v="277"/>
  </r>
  <r>
    <x v="3"/>
    <x v="0"/>
    <x v="75"/>
    <x v="1"/>
    <x v="0"/>
    <x v="110"/>
    <x v="278"/>
  </r>
  <r>
    <x v="3"/>
    <x v="0"/>
    <x v="75"/>
    <x v="1"/>
    <x v="8"/>
    <x v="44"/>
    <x v="279"/>
  </r>
  <r>
    <x v="2"/>
    <x v="2"/>
    <x v="75"/>
    <x v="1"/>
    <x v="4"/>
    <x v="86"/>
    <x v="280"/>
  </r>
  <r>
    <x v="8"/>
    <x v="3"/>
    <x v="75"/>
    <x v="1"/>
    <x v="4"/>
    <x v="37"/>
    <x v="281"/>
  </r>
  <r>
    <x v="5"/>
    <x v="3"/>
    <x v="75"/>
    <x v="1"/>
    <x v="4"/>
    <x v="21"/>
    <x v="282"/>
  </r>
  <r>
    <x v="1"/>
    <x v="1"/>
    <x v="24"/>
    <x v="1"/>
    <x v="2"/>
    <x v="14"/>
    <x v="283"/>
  </r>
  <r>
    <x v="7"/>
    <x v="2"/>
    <x v="24"/>
    <x v="1"/>
    <x v="5"/>
    <x v="1"/>
    <x v="284"/>
  </r>
  <r>
    <x v="5"/>
    <x v="3"/>
    <x v="24"/>
    <x v="1"/>
    <x v="3"/>
    <x v="71"/>
    <x v="285"/>
  </r>
  <r>
    <x v="5"/>
    <x v="3"/>
    <x v="24"/>
    <x v="1"/>
    <x v="4"/>
    <x v="73"/>
    <x v="286"/>
  </r>
  <r>
    <x v="0"/>
    <x v="0"/>
    <x v="24"/>
    <x v="1"/>
    <x v="4"/>
    <x v="120"/>
    <x v="287"/>
  </r>
  <r>
    <x v="4"/>
    <x v="3"/>
    <x v="24"/>
    <x v="1"/>
    <x v="8"/>
    <x v="73"/>
    <x v="288"/>
  </r>
  <r>
    <x v="0"/>
    <x v="0"/>
    <x v="24"/>
    <x v="1"/>
    <x v="10"/>
    <x v="121"/>
    <x v="289"/>
  </r>
  <r>
    <x v="8"/>
    <x v="3"/>
    <x v="24"/>
    <x v="1"/>
    <x v="10"/>
    <x v="41"/>
    <x v="290"/>
  </r>
  <r>
    <x v="2"/>
    <x v="2"/>
    <x v="24"/>
    <x v="1"/>
    <x v="6"/>
    <x v="81"/>
    <x v="291"/>
  </r>
  <r>
    <x v="2"/>
    <x v="2"/>
    <x v="24"/>
    <x v="1"/>
    <x v="10"/>
    <x v="38"/>
    <x v="292"/>
  </r>
  <r>
    <x v="5"/>
    <x v="3"/>
    <x v="25"/>
    <x v="1"/>
    <x v="2"/>
    <x v="10"/>
    <x v="293"/>
  </r>
  <r>
    <x v="8"/>
    <x v="3"/>
    <x v="25"/>
    <x v="1"/>
    <x v="5"/>
    <x v="3"/>
    <x v="294"/>
  </r>
  <r>
    <x v="5"/>
    <x v="3"/>
    <x v="25"/>
    <x v="1"/>
    <x v="3"/>
    <x v="25"/>
    <x v="295"/>
  </r>
  <r>
    <x v="4"/>
    <x v="3"/>
    <x v="25"/>
    <x v="1"/>
    <x v="8"/>
    <x v="93"/>
    <x v="296"/>
  </r>
  <r>
    <x v="2"/>
    <x v="2"/>
    <x v="25"/>
    <x v="1"/>
    <x v="2"/>
    <x v="10"/>
    <x v="297"/>
  </r>
  <r>
    <x v="2"/>
    <x v="2"/>
    <x v="26"/>
    <x v="1"/>
    <x v="0"/>
    <x v="122"/>
    <x v="298"/>
  </r>
  <r>
    <x v="1"/>
    <x v="1"/>
    <x v="26"/>
    <x v="1"/>
    <x v="11"/>
    <x v="102"/>
    <x v="299"/>
  </r>
  <r>
    <x v="5"/>
    <x v="3"/>
    <x v="26"/>
    <x v="1"/>
    <x v="4"/>
    <x v="117"/>
    <x v="300"/>
  </r>
  <r>
    <x v="1"/>
    <x v="1"/>
    <x v="27"/>
    <x v="1"/>
    <x v="11"/>
    <x v="48"/>
    <x v="301"/>
  </r>
  <r>
    <x v="4"/>
    <x v="3"/>
    <x v="27"/>
    <x v="1"/>
    <x v="6"/>
    <x v="46"/>
    <x v="302"/>
  </r>
  <r>
    <x v="3"/>
    <x v="0"/>
    <x v="27"/>
    <x v="1"/>
    <x v="6"/>
    <x v="14"/>
    <x v="303"/>
  </r>
  <r>
    <x v="7"/>
    <x v="2"/>
    <x v="27"/>
    <x v="1"/>
    <x v="1"/>
    <x v="18"/>
    <x v="304"/>
  </r>
  <r>
    <x v="1"/>
    <x v="1"/>
    <x v="27"/>
    <x v="1"/>
    <x v="5"/>
    <x v="54"/>
    <x v="305"/>
  </r>
  <r>
    <x v="3"/>
    <x v="0"/>
    <x v="27"/>
    <x v="1"/>
    <x v="5"/>
    <x v="123"/>
    <x v="306"/>
  </r>
  <r>
    <x v="7"/>
    <x v="2"/>
    <x v="27"/>
    <x v="1"/>
    <x v="0"/>
    <x v="59"/>
    <x v="307"/>
  </r>
  <r>
    <x v="0"/>
    <x v="0"/>
    <x v="27"/>
    <x v="1"/>
    <x v="0"/>
    <x v="82"/>
    <x v="308"/>
  </r>
  <r>
    <x v="7"/>
    <x v="2"/>
    <x v="27"/>
    <x v="1"/>
    <x v="3"/>
    <x v="114"/>
    <x v="309"/>
  </r>
  <r>
    <x v="8"/>
    <x v="3"/>
    <x v="27"/>
    <x v="1"/>
    <x v="7"/>
    <x v="89"/>
    <x v="310"/>
  </r>
  <r>
    <x v="8"/>
    <x v="3"/>
    <x v="28"/>
    <x v="1"/>
    <x v="10"/>
    <x v="1"/>
    <x v="311"/>
  </r>
  <r>
    <x v="5"/>
    <x v="3"/>
    <x v="28"/>
    <x v="1"/>
    <x v="1"/>
    <x v="124"/>
    <x v="312"/>
  </r>
  <r>
    <x v="5"/>
    <x v="3"/>
    <x v="28"/>
    <x v="1"/>
    <x v="0"/>
    <x v="118"/>
    <x v="313"/>
  </r>
  <r>
    <x v="5"/>
    <x v="3"/>
    <x v="28"/>
    <x v="1"/>
    <x v="3"/>
    <x v="3"/>
    <x v="314"/>
  </r>
  <r>
    <x v="4"/>
    <x v="3"/>
    <x v="28"/>
    <x v="1"/>
    <x v="2"/>
    <x v="66"/>
    <x v="315"/>
  </r>
  <r>
    <x v="8"/>
    <x v="3"/>
    <x v="29"/>
    <x v="1"/>
    <x v="8"/>
    <x v="4"/>
    <x v="316"/>
  </r>
  <r>
    <x v="7"/>
    <x v="2"/>
    <x v="29"/>
    <x v="1"/>
    <x v="6"/>
    <x v="57"/>
    <x v="317"/>
  </r>
  <r>
    <x v="1"/>
    <x v="1"/>
    <x v="29"/>
    <x v="1"/>
    <x v="10"/>
    <x v="119"/>
    <x v="318"/>
  </r>
  <r>
    <x v="8"/>
    <x v="3"/>
    <x v="29"/>
    <x v="1"/>
    <x v="5"/>
    <x v="125"/>
    <x v="319"/>
  </r>
  <r>
    <x v="8"/>
    <x v="3"/>
    <x v="29"/>
    <x v="1"/>
    <x v="3"/>
    <x v="126"/>
    <x v="320"/>
  </r>
  <r>
    <x v="4"/>
    <x v="3"/>
    <x v="29"/>
    <x v="1"/>
    <x v="9"/>
    <x v="127"/>
    <x v="72"/>
  </r>
  <r>
    <x v="2"/>
    <x v="2"/>
    <x v="29"/>
    <x v="1"/>
    <x v="9"/>
    <x v="56"/>
    <x v="321"/>
  </r>
  <r>
    <x v="7"/>
    <x v="2"/>
    <x v="29"/>
    <x v="1"/>
    <x v="2"/>
    <x v="17"/>
    <x v="322"/>
  </r>
  <r>
    <x v="2"/>
    <x v="2"/>
    <x v="30"/>
    <x v="1"/>
    <x v="8"/>
    <x v="106"/>
    <x v="323"/>
  </r>
  <r>
    <x v="5"/>
    <x v="3"/>
    <x v="30"/>
    <x v="1"/>
    <x v="6"/>
    <x v="87"/>
    <x v="324"/>
  </r>
  <r>
    <x v="4"/>
    <x v="3"/>
    <x v="30"/>
    <x v="1"/>
    <x v="2"/>
    <x v="3"/>
    <x v="325"/>
  </r>
  <r>
    <x v="8"/>
    <x v="3"/>
    <x v="30"/>
    <x v="1"/>
    <x v="9"/>
    <x v="128"/>
    <x v="326"/>
  </r>
  <r>
    <x v="5"/>
    <x v="3"/>
    <x v="76"/>
    <x v="1"/>
    <x v="10"/>
    <x v="45"/>
    <x v="327"/>
  </r>
  <r>
    <x v="2"/>
    <x v="2"/>
    <x v="76"/>
    <x v="1"/>
    <x v="1"/>
    <x v="31"/>
    <x v="328"/>
  </r>
  <r>
    <x v="1"/>
    <x v="1"/>
    <x v="76"/>
    <x v="1"/>
    <x v="5"/>
    <x v="52"/>
    <x v="329"/>
  </r>
  <r>
    <x v="8"/>
    <x v="3"/>
    <x v="76"/>
    <x v="1"/>
    <x v="11"/>
    <x v="3"/>
    <x v="330"/>
  </r>
  <r>
    <x v="1"/>
    <x v="1"/>
    <x v="76"/>
    <x v="1"/>
    <x v="3"/>
    <x v="129"/>
    <x v="331"/>
  </r>
  <r>
    <x v="3"/>
    <x v="0"/>
    <x v="31"/>
    <x v="1"/>
    <x v="11"/>
    <x v="21"/>
    <x v="187"/>
  </r>
  <r>
    <x v="2"/>
    <x v="2"/>
    <x v="31"/>
    <x v="1"/>
    <x v="3"/>
    <x v="92"/>
    <x v="332"/>
  </r>
  <r>
    <x v="1"/>
    <x v="1"/>
    <x v="31"/>
    <x v="1"/>
    <x v="11"/>
    <x v="27"/>
    <x v="333"/>
  </r>
  <r>
    <x v="5"/>
    <x v="3"/>
    <x v="31"/>
    <x v="1"/>
    <x v="6"/>
    <x v="25"/>
    <x v="334"/>
  </r>
  <r>
    <x v="3"/>
    <x v="0"/>
    <x v="31"/>
    <x v="1"/>
    <x v="6"/>
    <x v="44"/>
    <x v="335"/>
  </r>
  <r>
    <x v="4"/>
    <x v="3"/>
    <x v="31"/>
    <x v="1"/>
    <x v="2"/>
    <x v="25"/>
    <x v="336"/>
  </r>
  <r>
    <x v="2"/>
    <x v="2"/>
    <x v="31"/>
    <x v="1"/>
    <x v="4"/>
    <x v="122"/>
    <x v="337"/>
  </r>
  <r>
    <x v="5"/>
    <x v="3"/>
    <x v="31"/>
    <x v="1"/>
    <x v="9"/>
    <x v="3"/>
    <x v="338"/>
  </r>
  <r>
    <x v="4"/>
    <x v="3"/>
    <x v="77"/>
    <x v="1"/>
    <x v="3"/>
    <x v="39"/>
    <x v="339"/>
  </r>
  <r>
    <x v="1"/>
    <x v="1"/>
    <x v="77"/>
    <x v="1"/>
    <x v="6"/>
    <x v="25"/>
    <x v="340"/>
  </r>
  <r>
    <x v="2"/>
    <x v="2"/>
    <x v="78"/>
    <x v="1"/>
    <x v="8"/>
    <x v="39"/>
    <x v="341"/>
  </r>
  <r>
    <x v="8"/>
    <x v="3"/>
    <x v="78"/>
    <x v="1"/>
    <x v="10"/>
    <x v="39"/>
    <x v="342"/>
  </r>
  <r>
    <x v="7"/>
    <x v="2"/>
    <x v="32"/>
    <x v="1"/>
    <x v="7"/>
    <x v="3"/>
    <x v="343"/>
  </r>
  <r>
    <x v="1"/>
    <x v="1"/>
    <x v="32"/>
    <x v="1"/>
    <x v="8"/>
    <x v="106"/>
    <x v="344"/>
  </r>
  <r>
    <x v="2"/>
    <x v="2"/>
    <x v="32"/>
    <x v="1"/>
    <x v="8"/>
    <x v="21"/>
    <x v="345"/>
  </r>
  <r>
    <x v="5"/>
    <x v="3"/>
    <x v="32"/>
    <x v="1"/>
    <x v="6"/>
    <x v="64"/>
    <x v="346"/>
  </r>
  <r>
    <x v="0"/>
    <x v="0"/>
    <x v="32"/>
    <x v="1"/>
    <x v="4"/>
    <x v="87"/>
    <x v="347"/>
  </r>
  <r>
    <x v="1"/>
    <x v="1"/>
    <x v="32"/>
    <x v="1"/>
    <x v="2"/>
    <x v="7"/>
    <x v="348"/>
  </r>
  <r>
    <x v="0"/>
    <x v="0"/>
    <x v="32"/>
    <x v="1"/>
    <x v="6"/>
    <x v="5"/>
    <x v="349"/>
  </r>
  <r>
    <x v="1"/>
    <x v="1"/>
    <x v="32"/>
    <x v="1"/>
    <x v="4"/>
    <x v="21"/>
    <x v="350"/>
  </r>
  <r>
    <x v="3"/>
    <x v="0"/>
    <x v="79"/>
    <x v="1"/>
    <x v="1"/>
    <x v="102"/>
    <x v="351"/>
  </r>
  <r>
    <x v="2"/>
    <x v="2"/>
    <x v="79"/>
    <x v="1"/>
    <x v="5"/>
    <x v="2"/>
    <x v="352"/>
  </r>
  <r>
    <x v="8"/>
    <x v="3"/>
    <x v="79"/>
    <x v="1"/>
    <x v="7"/>
    <x v="124"/>
    <x v="353"/>
  </r>
  <r>
    <x v="5"/>
    <x v="3"/>
    <x v="33"/>
    <x v="1"/>
    <x v="8"/>
    <x v="38"/>
    <x v="354"/>
  </r>
  <r>
    <x v="8"/>
    <x v="3"/>
    <x v="33"/>
    <x v="1"/>
    <x v="0"/>
    <x v="124"/>
    <x v="355"/>
  </r>
  <r>
    <x v="1"/>
    <x v="1"/>
    <x v="33"/>
    <x v="1"/>
    <x v="0"/>
    <x v="39"/>
    <x v="356"/>
  </r>
  <r>
    <x v="3"/>
    <x v="0"/>
    <x v="34"/>
    <x v="1"/>
    <x v="1"/>
    <x v="95"/>
    <x v="357"/>
  </r>
  <r>
    <x v="4"/>
    <x v="3"/>
    <x v="34"/>
    <x v="1"/>
    <x v="11"/>
    <x v="106"/>
    <x v="358"/>
  </r>
  <r>
    <x v="2"/>
    <x v="2"/>
    <x v="34"/>
    <x v="1"/>
    <x v="3"/>
    <x v="17"/>
    <x v="359"/>
  </r>
  <r>
    <x v="2"/>
    <x v="2"/>
    <x v="34"/>
    <x v="1"/>
    <x v="10"/>
    <x v="19"/>
    <x v="360"/>
  </r>
  <r>
    <x v="5"/>
    <x v="3"/>
    <x v="34"/>
    <x v="1"/>
    <x v="2"/>
    <x v="6"/>
    <x v="361"/>
  </r>
  <r>
    <x v="6"/>
    <x v="3"/>
    <x v="80"/>
    <x v="1"/>
    <x v="8"/>
    <x v="23"/>
    <x v="362"/>
  </r>
  <r>
    <x v="5"/>
    <x v="3"/>
    <x v="80"/>
    <x v="1"/>
    <x v="2"/>
    <x v="130"/>
    <x v="363"/>
  </r>
  <r>
    <x v="6"/>
    <x v="3"/>
    <x v="80"/>
    <x v="1"/>
    <x v="3"/>
    <x v="25"/>
    <x v="364"/>
  </r>
  <r>
    <x v="1"/>
    <x v="1"/>
    <x v="35"/>
    <x v="1"/>
    <x v="2"/>
    <x v="19"/>
    <x v="365"/>
  </r>
  <r>
    <x v="1"/>
    <x v="1"/>
    <x v="35"/>
    <x v="1"/>
    <x v="5"/>
    <x v="66"/>
    <x v="366"/>
  </r>
  <r>
    <x v="6"/>
    <x v="3"/>
    <x v="35"/>
    <x v="1"/>
    <x v="7"/>
    <x v="20"/>
    <x v="367"/>
  </r>
  <r>
    <x v="0"/>
    <x v="0"/>
    <x v="36"/>
    <x v="1"/>
    <x v="11"/>
    <x v="83"/>
    <x v="368"/>
  </r>
  <r>
    <x v="1"/>
    <x v="1"/>
    <x v="36"/>
    <x v="1"/>
    <x v="6"/>
    <x v="95"/>
    <x v="369"/>
  </r>
  <r>
    <x v="1"/>
    <x v="1"/>
    <x v="36"/>
    <x v="1"/>
    <x v="3"/>
    <x v="130"/>
    <x v="370"/>
  </r>
  <r>
    <x v="8"/>
    <x v="3"/>
    <x v="36"/>
    <x v="1"/>
    <x v="3"/>
    <x v="80"/>
    <x v="371"/>
  </r>
  <r>
    <x v="8"/>
    <x v="3"/>
    <x v="36"/>
    <x v="1"/>
    <x v="4"/>
    <x v="35"/>
    <x v="372"/>
  </r>
  <r>
    <x v="5"/>
    <x v="3"/>
    <x v="36"/>
    <x v="1"/>
    <x v="4"/>
    <x v="9"/>
    <x v="373"/>
  </r>
  <r>
    <x v="3"/>
    <x v="0"/>
    <x v="36"/>
    <x v="1"/>
    <x v="9"/>
    <x v="131"/>
    <x v="374"/>
  </r>
  <r>
    <x v="2"/>
    <x v="2"/>
    <x v="36"/>
    <x v="1"/>
    <x v="5"/>
    <x v="122"/>
    <x v="375"/>
  </r>
  <r>
    <x v="1"/>
    <x v="1"/>
    <x v="36"/>
    <x v="1"/>
    <x v="7"/>
    <x v="48"/>
    <x v="376"/>
  </r>
  <r>
    <x v="2"/>
    <x v="2"/>
    <x v="36"/>
    <x v="1"/>
    <x v="7"/>
    <x v="7"/>
    <x v="377"/>
  </r>
  <r>
    <x v="4"/>
    <x v="3"/>
    <x v="81"/>
    <x v="1"/>
    <x v="1"/>
    <x v="15"/>
    <x v="378"/>
  </r>
  <r>
    <x v="1"/>
    <x v="1"/>
    <x v="81"/>
    <x v="1"/>
    <x v="6"/>
    <x v="61"/>
    <x v="379"/>
  </r>
  <r>
    <x v="0"/>
    <x v="0"/>
    <x v="82"/>
    <x v="1"/>
    <x v="8"/>
    <x v="115"/>
    <x v="380"/>
  </r>
  <r>
    <x v="1"/>
    <x v="1"/>
    <x v="82"/>
    <x v="1"/>
    <x v="11"/>
    <x v="1"/>
    <x v="381"/>
  </r>
  <r>
    <x v="2"/>
    <x v="2"/>
    <x v="37"/>
    <x v="1"/>
    <x v="5"/>
    <x v="82"/>
    <x v="382"/>
  </r>
  <r>
    <x v="8"/>
    <x v="3"/>
    <x v="37"/>
    <x v="1"/>
    <x v="0"/>
    <x v="71"/>
    <x v="383"/>
  </r>
  <r>
    <x v="1"/>
    <x v="1"/>
    <x v="37"/>
    <x v="1"/>
    <x v="4"/>
    <x v="53"/>
    <x v="384"/>
  </r>
  <r>
    <x v="1"/>
    <x v="1"/>
    <x v="37"/>
    <x v="1"/>
    <x v="9"/>
    <x v="3"/>
    <x v="385"/>
  </r>
  <r>
    <x v="5"/>
    <x v="3"/>
    <x v="38"/>
    <x v="1"/>
    <x v="8"/>
    <x v="9"/>
    <x v="386"/>
  </r>
  <r>
    <x v="8"/>
    <x v="3"/>
    <x v="38"/>
    <x v="1"/>
    <x v="6"/>
    <x v="44"/>
    <x v="387"/>
  </r>
  <r>
    <x v="5"/>
    <x v="3"/>
    <x v="38"/>
    <x v="1"/>
    <x v="2"/>
    <x v="132"/>
    <x v="388"/>
  </r>
  <r>
    <x v="1"/>
    <x v="1"/>
    <x v="38"/>
    <x v="1"/>
    <x v="0"/>
    <x v="14"/>
    <x v="389"/>
  </r>
  <r>
    <x v="4"/>
    <x v="3"/>
    <x v="38"/>
    <x v="1"/>
    <x v="11"/>
    <x v="18"/>
    <x v="390"/>
  </r>
  <r>
    <x v="5"/>
    <x v="3"/>
    <x v="38"/>
    <x v="1"/>
    <x v="7"/>
    <x v="53"/>
    <x v="391"/>
  </r>
  <r>
    <x v="4"/>
    <x v="3"/>
    <x v="39"/>
    <x v="1"/>
    <x v="6"/>
    <x v="16"/>
    <x v="392"/>
  </r>
  <r>
    <x v="6"/>
    <x v="3"/>
    <x v="39"/>
    <x v="1"/>
    <x v="10"/>
    <x v="56"/>
    <x v="393"/>
  </r>
  <r>
    <x v="5"/>
    <x v="3"/>
    <x v="40"/>
    <x v="1"/>
    <x v="11"/>
    <x v="25"/>
    <x v="394"/>
  </r>
  <r>
    <x v="1"/>
    <x v="1"/>
    <x v="40"/>
    <x v="1"/>
    <x v="8"/>
    <x v="35"/>
    <x v="395"/>
  </r>
  <r>
    <x v="3"/>
    <x v="0"/>
    <x v="40"/>
    <x v="1"/>
    <x v="10"/>
    <x v="54"/>
    <x v="396"/>
  </r>
  <r>
    <x v="3"/>
    <x v="0"/>
    <x v="40"/>
    <x v="1"/>
    <x v="1"/>
    <x v="130"/>
    <x v="397"/>
  </r>
  <r>
    <x v="4"/>
    <x v="3"/>
    <x v="40"/>
    <x v="1"/>
    <x v="0"/>
    <x v="87"/>
    <x v="398"/>
  </r>
  <r>
    <x v="0"/>
    <x v="0"/>
    <x v="40"/>
    <x v="1"/>
    <x v="4"/>
    <x v="131"/>
    <x v="399"/>
  </r>
  <r>
    <x v="1"/>
    <x v="1"/>
    <x v="41"/>
    <x v="1"/>
    <x v="9"/>
    <x v="62"/>
    <x v="400"/>
  </r>
  <r>
    <x v="6"/>
    <x v="3"/>
    <x v="41"/>
    <x v="1"/>
    <x v="10"/>
    <x v="68"/>
    <x v="401"/>
  </r>
  <r>
    <x v="6"/>
    <x v="3"/>
    <x v="42"/>
    <x v="1"/>
    <x v="8"/>
    <x v="133"/>
    <x v="402"/>
  </r>
  <r>
    <x v="1"/>
    <x v="1"/>
    <x v="42"/>
    <x v="1"/>
    <x v="8"/>
    <x v="28"/>
    <x v="403"/>
  </r>
  <r>
    <x v="0"/>
    <x v="0"/>
    <x v="42"/>
    <x v="1"/>
    <x v="8"/>
    <x v="9"/>
    <x v="404"/>
  </r>
  <r>
    <x v="5"/>
    <x v="3"/>
    <x v="42"/>
    <x v="1"/>
    <x v="11"/>
    <x v="134"/>
    <x v="405"/>
  </r>
  <r>
    <x v="4"/>
    <x v="3"/>
    <x v="42"/>
    <x v="1"/>
    <x v="6"/>
    <x v="105"/>
    <x v="406"/>
  </r>
  <r>
    <x v="8"/>
    <x v="3"/>
    <x v="42"/>
    <x v="1"/>
    <x v="2"/>
    <x v="14"/>
    <x v="407"/>
  </r>
  <r>
    <x v="1"/>
    <x v="1"/>
    <x v="42"/>
    <x v="1"/>
    <x v="2"/>
    <x v="9"/>
    <x v="408"/>
  </r>
  <r>
    <x v="7"/>
    <x v="2"/>
    <x v="42"/>
    <x v="1"/>
    <x v="1"/>
    <x v="135"/>
    <x v="409"/>
  </r>
  <r>
    <x v="6"/>
    <x v="3"/>
    <x v="42"/>
    <x v="1"/>
    <x v="5"/>
    <x v="3"/>
    <x v="410"/>
  </r>
  <r>
    <x v="2"/>
    <x v="2"/>
    <x v="42"/>
    <x v="1"/>
    <x v="5"/>
    <x v="28"/>
    <x v="411"/>
  </r>
  <r>
    <x v="4"/>
    <x v="3"/>
    <x v="42"/>
    <x v="1"/>
    <x v="5"/>
    <x v="136"/>
    <x v="412"/>
  </r>
  <r>
    <x v="5"/>
    <x v="3"/>
    <x v="42"/>
    <x v="1"/>
    <x v="0"/>
    <x v="137"/>
    <x v="413"/>
  </r>
  <r>
    <x v="5"/>
    <x v="3"/>
    <x v="42"/>
    <x v="1"/>
    <x v="9"/>
    <x v="138"/>
    <x v="414"/>
  </r>
  <r>
    <x v="4"/>
    <x v="3"/>
    <x v="42"/>
    <x v="1"/>
    <x v="4"/>
    <x v="34"/>
    <x v="415"/>
  </r>
  <r>
    <x v="2"/>
    <x v="2"/>
    <x v="43"/>
    <x v="1"/>
    <x v="11"/>
    <x v="37"/>
    <x v="416"/>
  </r>
  <r>
    <x v="3"/>
    <x v="0"/>
    <x v="43"/>
    <x v="1"/>
    <x v="2"/>
    <x v="122"/>
    <x v="417"/>
  </r>
  <r>
    <x v="2"/>
    <x v="2"/>
    <x v="43"/>
    <x v="1"/>
    <x v="5"/>
    <x v="69"/>
    <x v="418"/>
  </r>
  <r>
    <x v="5"/>
    <x v="3"/>
    <x v="43"/>
    <x v="1"/>
    <x v="3"/>
    <x v="3"/>
    <x v="419"/>
  </r>
  <r>
    <x v="8"/>
    <x v="3"/>
    <x v="43"/>
    <x v="1"/>
    <x v="4"/>
    <x v="41"/>
    <x v="420"/>
  </r>
  <r>
    <x v="5"/>
    <x v="3"/>
    <x v="44"/>
    <x v="1"/>
    <x v="1"/>
    <x v="73"/>
    <x v="421"/>
  </r>
  <r>
    <x v="4"/>
    <x v="3"/>
    <x v="44"/>
    <x v="1"/>
    <x v="10"/>
    <x v="37"/>
    <x v="422"/>
  </r>
  <r>
    <x v="3"/>
    <x v="0"/>
    <x v="44"/>
    <x v="1"/>
    <x v="5"/>
    <x v="17"/>
    <x v="423"/>
  </r>
  <r>
    <x v="0"/>
    <x v="0"/>
    <x v="44"/>
    <x v="1"/>
    <x v="0"/>
    <x v="93"/>
    <x v="424"/>
  </r>
  <r>
    <x v="3"/>
    <x v="0"/>
    <x v="44"/>
    <x v="1"/>
    <x v="3"/>
    <x v="120"/>
    <x v="425"/>
  </r>
  <r>
    <x v="2"/>
    <x v="2"/>
    <x v="44"/>
    <x v="1"/>
    <x v="2"/>
    <x v="94"/>
    <x v="426"/>
  </r>
  <r>
    <x v="0"/>
    <x v="0"/>
    <x v="44"/>
    <x v="1"/>
    <x v="11"/>
    <x v="90"/>
    <x v="427"/>
  </r>
  <r>
    <x v="5"/>
    <x v="3"/>
    <x v="83"/>
    <x v="1"/>
    <x v="5"/>
    <x v="102"/>
    <x v="428"/>
  </r>
  <r>
    <x v="5"/>
    <x v="3"/>
    <x v="83"/>
    <x v="1"/>
    <x v="9"/>
    <x v="50"/>
    <x v="429"/>
  </r>
  <r>
    <x v="8"/>
    <x v="3"/>
    <x v="45"/>
    <x v="1"/>
    <x v="11"/>
    <x v="96"/>
    <x v="430"/>
  </r>
  <r>
    <x v="6"/>
    <x v="3"/>
    <x v="45"/>
    <x v="1"/>
    <x v="2"/>
    <x v="99"/>
    <x v="431"/>
  </r>
  <r>
    <x v="1"/>
    <x v="1"/>
    <x v="45"/>
    <x v="1"/>
    <x v="10"/>
    <x v="139"/>
    <x v="432"/>
  </r>
  <r>
    <x v="8"/>
    <x v="3"/>
    <x v="45"/>
    <x v="1"/>
    <x v="4"/>
    <x v="37"/>
    <x v="433"/>
  </r>
  <r>
    <x v="6"/>
    <x v="3"/>
    <x v="45"/>
    <x v="1"/>
    <x v="7"/>
    <x v="17"/>
    <x v="434"/>
  </r>
  <r>
    <x v="5"/>
    <x v="3"/>
    <x v="45"/>
    <x v="1"/>
    <x v="7"/>
    <x v="126"/>
    <x v="435"/>
  </r>
  <r>
    <x v="0"/>
    <x v="0"/>
    <x v="46"/>
    <x v="1"/>
    <x v="11"/>
    <x v="44"/>
    <x v="436"/>
  </r>
  <r>
    <x v="8"/>
    <x v="3"/>
    <x v="46"/>
    <x v="1"/>
    <x v="7"/>
    <x v="21"/>
    <x v="437"/>
  </r>
  <r>
    <x v="4"/>
    <x v="3"/>
    <x v="46"/>
    <x v="1"/>
    <x v="1"/>
    <x v="19"/>
    <x v="438"/>
  </r>
  <r>
    <x v="8"/>
    <x v="3"/>
    <x v="46"/>
    <x v="1"/>
    <x v="0"/>
    <x v="44"/>
    <x v="439"/>
  </r>
  <r>
    <x v="7"/>
    <x v="2"/>
    <x v="46"/>
    <x v="1"/>
    <x v="4"/>
    <x v="86"/>
    <x v="440"/>
  </r>
  <r>
    <x v="2"/>
    <x v="2"/>
    <x v="46"/>
    <x v="1"/>
    <x v="9"/>
    <x v="22"/>
    <x v="441"/>
  </r>
  <r>
    <x v="4"/>
    <x v="3"/>
    <x v="47"/>
    <x v="1"/>
    <x v="7"/>
    <x v="120"/>
    <x v="442"/>
  </r>
  <r>
    <x v="2"/>
    <x v="2"/>
    <x v="47"/>
    <x v="1"/>
    <x v="10"/>
    <x v="5"/>
    <x v="443"/>
  </r>
  <r>
    <x v="6"/>
    <x v="3"/>
    <x v="47"/>
    <x v="1"/>
    <x v="3"/>
    <x v="21"/>
    <x v="444"/>
  </r>
  <r>
    <x v="5"/>
    <x v="3"/>
    <x v="47"/>
    <x v="1"/>
    <x v="3"/>
    <x v="79"/>
    <x v="445"/>
  </r>
  <r>
    <x v="5"/>
    <x v="3"/>
    <x v="47"/>
    <x v="1"/>
    <x v="9"/>
    <x v="140"/>
    <x v="446"/>
  </r>
  <r>
    <x v="8"/>
    <x v="3"/>
    <x v="48"/>
    <x v="1"/>
    <x v="8"/>
    <x v="47"/>
    <x v="447"/>
  </r>
  <r>
    <x v="5"/>
    <x v="3"/>
    <x v="48"/>
    <x v="1"/>
    <x v="11"/>
    <x v="9"/>
    <x v="448"/>
  </r>
  <r>
    <x v="1"/>
    <x v="1"/>
    <x v="48"/>
    <x v="1"/>
    <x v="1"/>
    <x v="141"/>
    <x v="449"/>
  </r>
  <r>
    <x v="0"/>
    <x v="0"/>
    <x v="48"/>
    <x v="1"/>
    <x v="0"/>
    <x v="41"/>
    <x v="450"/>
  </r>
  <r>
    <x v="0"/>
    <x v="0"/>
    <x v="50"/>
    <x v="1"/>
    <x v="6"/>
    <x v="24"/>
    <x v="451"/>
  </r>
  <r>
    <x v="0"/>
    <x v="0"/>
    <x v="50"/>
    <x v="1"/>
    <x v="3"/>
    <x v="92"/>
    <x v="452"/>
  </r>
  <r>
    <x v="3"/>
    <x v="0"/>
    <x v="51"/>
    <x v="1"/>
    <x v="7"/>
    <x v="142"/>
    <x v="453"/>
  </r>
  <r>
    <x v="3"/>
    <x v="0"/>
    <x v="51"/>
    <x v="1"/>
    <x v="6"/>
    <x v="11"/>
    <x v="454"/>
  </r>
  <r>
    <x v="3"/>
    <x v="0"/>
    <x v="51"/>
    <x v="1"/>
    <x v="1"/>
    <x v="143"/>
    <x v="455"/>
  </r>
  <r>
    <x v="1"/>
    <x v="1"/>
    <x v="51"/>
    <x v="1"/>
    <x v="1"/>
    <x v="144"/>
    <x v="456"/>
  </r>
  <r>
    <x v="2"/>
    <x v="2"/>
    <x v="51"/>
    <x v="1"/>
    <x v="5"/>
    <x v="34"/>
    <x v="457"/>
  </r>
  <r>
    <x v="8"/>
    <x v="3"/>
    <x v="51"/>
    <x v="1"/>
    <x v="5"/>
    <x v="136"/>
    <x v="458"/>
  </r>
  <r>
    <x v="6"/>
    <x v="3"/>
    <x v="51"/>
    <x v="1"/>
    <x v="5"/>
    <x v="145"/>
    <x v="459"/>
  </r>
  <r>
    <x v="1"/>
    <x v="1"/>
    <x v="51"/>
    <x v="1"/>
    <x v="5"/>
    <x v="146"/>
    <x v="460"/>
  </r>
  <r>
    <x v="0"/>
    <x v="0"/>
    <x v="51"/>
    <x v="1"/>
    <x v="0"/>
    <x v="147"/>
    <x v="461"/>
  </r>
  <r>
    <x v="4"/>
    <x v="3"/>
    <x v="51"/>
    <x v="1"/>
    <x v="0"/>
    <x v="148"/>
    <x v="462"/>
  </r>
  <r>
    <x v="2"/>
    <x v="2"/>
    <x v="51"/>
    <x v="1"/>
    <x v="3"/>
    <x v="3"/>
    <x v="463"/>
  </r>
  <r>
    <x v="8"/>
    <x v="3"/>
    <x v="51"/>
    <x v="1"/>
    <x v="4"/>
    <x v="149"/>
    <x v="464"/>
  </r>
  <r>
    <x v="6"/>
    <x v="3"/>
    <x v="51"/>
    <x v="1"/>
    <x v="4"/>
    <x v="150"/>
    <x v="465"/>
  </r>
  <r>
    <x v="2"/>
    <x v="2"/>
    <x v="51"/>
    <x v="1"/>
    <x v="4"/>
    <x v="151"/>
    <x v="466"/>
  </r>
  <r>
    <x v="2"/>
    <x v="2"/>
    <x v="51"/>
    <x v="1"/>
    <x v="9"/>
    <x v="132"/>
    <x v="467"/>
  </r>
  <r>
    <x v="5"/>
    <x v="3"/>
    <x v="51"/>
    <x v="1"/>
    <x v="9"/>
    <x v="152"/>
    <x v="468"/>
  </r>
  <r>
    <x v="1"/>
    <x v="1"/>
    <x v="52"/>
    <x v="1"/>
    <x v="8"/>
    <x v="93"/>
    <x v="469"/>
  </r>
  <r>
    <x v="0"/>
    <x v="0"/>
    <x v="52"/>
    <x v="1"/>
    <x v="8"/>
    <x v="5"/>
    <x v="470"/>
  </r>
  <r>
    <x v="8"/>
    <x v="3"/>
    <x v="52"/>
    <x v="1"/>
    <x v="2"/>
    <x v="131"/>
    <x v="471"/>
  </r>
  <r>
    <x v="3"/>
    <x v="0"/>
    <x v="52"/>
    <x v="1"/>
    <x v="2"/>
    <x v="5"/>
    <x v="472"/>
  </r>
  <r>
    <x v="2"/>
    <x v="2"/>
    <x v="52"/>
    <x v="1"/>
    <x v="10"/>
    <x v="114"/>
    <x v="473"/>
  </r>
  <r>
    <x v="4"/>
    <x v="3"/>
    <x v="53"/>
    <x v="1"/>
    <x v="7"/>
    <x v="1"/>
    <x v="474"/>
  </r>
  <r>
    <x v="5"/>
    <x v="3"/>
    <x v="53"/>
    <x v="1"/>
    <x v="2"/>
    <x v="31"/>
    <x v="475"/>
  </r>
  <r>
    <x v="5"/>
    <x v="3"/>
    <x v="53"/>
    <x v="1"/>
    <x v="11"/>
    <x v="153"/>
    <x v="476"/>
  </r>
  <r>
    <x v="4"/>
    <x v="3"/>
    <x v="53"/>
    <x v="1"/>
    <x v="0"/>
    <x v="21"/>
    <x v="477"/>
  </r>
  <r>
    <x v="0"/>
    <x v="0"/>
    <x v="53"/>
    <x v="1"/>
    <x v="3"/>
    <x v="3"/>
    <x v="478"/>
  </r>
  <r>
    <x v="1"/>
    <x v="1"/>
    <x v="54"/>
    <x v="1"/>
    <x v="11"/>
    <x v="3"/>
    <x v="479"/>
  </r>
  <r>
    <x v="2"/>
    <x v="2"/>
    <x v="54"/>
    <x v="1"/>
    <x v="1"/>
    <x v="131"/>
    <x v="480"/>
  </r>
  <r>
    <x v="4"/>
    <x v="3"/>
    <x v="84"/>
    <x v="1"/>
    <x v="1"/>
    <x v="95"/>
    <x v="481"/>
  </r>
  <r>
    <x v="5"/>
    <x v="3"/>
    <x v="55"/>
    <x v="1"/>
    <x v="2"/>
    <x v="115"/>
    <x v="482"/>
  </r>
  <r>
    <x v="7"/>
    <x v="2"/>
    <x v="55"/>
    <x v="1"/>
    <x v="10"/>
    <x v="154"/>
    <x v="483"/>
  </r>
  <r>
    <x v="6"/>
    <x v="3"/>
    <x v="55"/>
    <x v="1"/>
    <x v="10"/>
    <x v="51"/>
    <x v="484"/>
  </r>
  <r>
    <x v="0"/>
    <x v="0"/>
    <x v="55"/>
    <x v="1"/>
    <x v="9"/>
    <x v="155"/>
    <x v="485"/>
  </r>
  <r>
    <x v="4"/>
    <x v="3"/>
    <x v="56"/>
    <x v="1"/>
    <x v="2"/>
    <x v="44"/>
    <x v="486"/>
  </r>
  <r>
    <x v="3"/>
    <x v="0"/>
    <x v="56"/>
    <x v="1"/>
    <x v="5"/>
    <x v="103"/>
    <x v="487"/>
  </r>
  <r>
    <x v="0"/>
    <x v="0"/>
    <x v="85"/>
    <x v="1"/>
    <x v="2"/>
    <x v="103"/>
    <x v="488"/>
  </r>
  <r>
    <x v="5"/>
    <x v="3"/>
    <x v="85"/>
    <x v="1"/>
    <x v="3"/>
    <x v="50"/>
    <x v="489"/>
  </r>
  <r>
    <x v="1"/>
    <x v="1"/>
    <x v="57"/>
    <x v="1"/>
    <x v="8"/>
    <x v="1"/>
    <x v="490"/>
  </r>
  <r>
    <x v="1"/>
    <x v="1"/>
    <x v="57"/>
    <x v="1"/>
    <x v="9"/>
    <x v="3"/>
    <x v="491"/>
  </r>
  <r>
    <x v="3"/>
    <x v="0"/>
    <x v="57"/>
    <x v="1"/>
    <x v="9"/>
    <x v="3"/>
    <x v="492"/>
  </r>
  <r>
    <x v="5"/>
    <x v="3"/>
    <x v="57"/>
    <x v="1"/>
    <x v="4"/>
    <x v="62"/>
    <x v="493"/>
  </r>
  <r>
    <x v="5"/>
    <x v="3"/>
    <x v="58"/>
    <x v="1"/>
    <x v="6"/>
    <x v="69"/>
    <x v="494"/>
  </r>
  <r>
    <x v="4"/>
    <x v="3"/>
    <x v="58"/>
    <x v="1"/>
    <x v="0"/>
    <x v="21"/>
    <x v="495"/>
  </r>
  <r>
    <x v="1"/>
    <x v="1"/>
    <x v="58"/>
    <x v="1"/>
    <x v="7"/>
    <x v="100"/>
    <x v="496"/>
  </r>
  <r>
    <x v="0"/>
    <x v="0"/>
    <x v="59"/>
    <x v="1"/>
    <x v="6"/>
    <x v="44"/>
    <x v="497"/>
  </r>
  <r>
    <x v="5"/>
    <x v="3"/>
    <x v="59"/>
    <x v="1"/>
    <x v="4"/>
    <x v="3"/>
    <x v="498"/>
  </r>
  <r>
    <x v="7"/>
    <x v="2"/>
    <x v="86"/>
    <x v="1"/>
    <x v="7"/>
    <x v="73"/>
    <x v="499"/>
  </r>
  <r>
    <x v="5"/>
    <x v="3"/>
    <x v="86"/>
    <x v="1"/>
    <x v="7"/>
    <x v="57"/>
    <x v="500"/>
  </r>
  <r>
    <x v="1"/>
    <x v="1"/>
    <x v="60"/>
    <x v="1"/>
    <x v="2"/>
    <x v="9"/>
    <x v="501"/>
  </r>
  <r>
    <x v="3"/>
    <x v="0"/>
    <x v="60"/>
    <x v="1"/>
    <x v="1"/>
    <x v="3"/>
    <x v="502"/>
  </r>
  <r>
    <x v="5"/>
    <x v="3"/>
    <x v="60"/>
    <x v="1"/>
    <x v="5"/>
    <x v="135"/>
    <x v="503"/>
  </r>
  <r>
    <x v="2"/>
    <x v="2"/>
    <x v="60"/>
    <x v="1"/>
    <x v="4"/>
    <x v="118"/>
    <x v="504"/>
  </r>
  <r>
    <x v="8"/>
    <x v="3"/>
    <x v="60"/>
    <x v="1"/>
    <x v="10"/>
    <x v="156"/>
    <x v="505"/>
  </r>
  <r>
    <x v="8"/>
    <x v="3"/>
    <x v="60"/>
    <x v="1"/>
    <x v="4"/>
    <x v="49"/>
    <x v="506"/>
  </r>
  <r>
    <x v="8"/>
    <x v="3"/>
    <x v="61"/>
    <x v="1"/>
    <x v="8"/>
    <x v="9"/>
    <x v="507"/>
  </r>
  <r>
    <x v="1"/>
    <x v="1"/>
    <x v="61"/>
    <x v="1"/>
    <x v="2"/>
    <x v="110"/>
    <x v="508"/>
  </r>
  <r>
    <x v="2"/>
    <x v="2"/>
    <x v="61"/>
    <x v="1"/>
    <x v="9"/>
    <x v="50"/>
    <x v="509"/>
  </r>
  <r>
    <x v="4"/>
    <x v="3"/>
    <x v="61"/>
    <x v="1"/>
    <x v="10"/>
    <x v="44"/>
    <x v="510"/>
  </r>
  <r>
    <x v="5"/>
    <x v="3"/>
    <x v="61"/>
    <x v="1"/>
    <x v="9"/>
    <x v="52"/>
    <x v="511"/>
  </r>
  <r>
    <x v="4"/>
    <x v="3"/>
    <x v="62"/>
    <x v="1"/>
    <x v="1"/>
    <x v="61"/>
    <x v="167"/>
  </r>
  <r>
    <x v="1"/>
    <x v="1"/>
    <x v="62"/>
    <x v="1"/>
    <x v="1"/>
    <x v="1"/>
    <x v="387"/>
  </r>
  <r>
    <x v="4"/>
    <x v="3"/>
    <x v="63"/>
    <x v="1"/>
    <x v="8"/>
    <x v="90"/>
    <x v="512"/>
  </r>
  <r>
    <x v="2"/>
    <x v="2"/>
    <x v="63"/>
    <x v="1"/>
    <x v="9"/>
    <x v="34"/>
    <x v="513"/>
  </r>
  <r>
    <x v="5"/>
    <x v="3"/>
    <x v="63"/>
    <x v="1"/>
    <x v="8"/>
    <x v="73"/>
    <x v="514"/>
  </r>
  <r>
    <x v="4"/>
    <x v="3"/>
    <x v="63"/>
    <x v="1"/>
    <x v="2"/>
    <x v="20"/>
    <x v="515"/>
  </r>
  <r>
    <x v="2"/>
    <x v="2"/>
    <x v="63"/>
    <x v="1"/>
    <x v="11"/>
    <x v="32"/>
    <x v="516"/>
  </r>
  <r>
    <x v="7"/>
    <x v="2"/>
    <x v="63"/>
    <x v="1"/>
    <x v="1"/>
    <x v="32"/>
    <x v="517"/>
  </r>
  <r>
    <x v="5"/>
    <x v="3"/>
    <x v="63"/>
    <x v="1"/>
    <x v="3"/>
    <x v="124"/>
    <x v="518"/>
  </r>
  <r>
    <x v="4"/>
    <x v="3"/>
    <x v="63"/>
    <x v="1"/>
    <x v="7"/>
    <x v="23"/>
    <x v="519"/>
  </r>
  <r>
    <x v="5"/>
    <x v="3"/>
    <x v="64"/>
    <x v="1"/>
    <x v="2"/>
    <x v="53"/>
    <x v="520"/>
  </r>
  <r>
    <x v="1"/>
    <x v="1"/>
    <x v="64"/>
    <x v="1"/>
    <x v="11"/>
    <x v="3"/>
    <x v="521"/>
  </r>
  <r>
    <x v="1"/>
    <x v="1"/>
    <x v="64"/>
    <x v="1"/>
    <x v="3"/>
    <x v="87"/>
    <x v="522"/>
  </r>
  <r>
    <x v="0"/>
    <x v="0"/>
    <x v="64"/>
    <x v="1"/>
    <x v="4"/>
    <x v="10"/>
    <x v="523"/>
  </r>
  <r>
    <x v="5"/>
    <x v="3"/>
    <x v="65"/>
    <x v="1"/>
    <x v="6"/>
    <x v="37"/>
    <x v="524"/>
  </r>
  <r>
    <x v="5"/>
    <x v="3"/>
    <x v="65"/>
    <x v="1"/>
    <x v="1"/>
    <x v="12"/>
    <x v="525"/>
  </r>
  <r>
    <x v="2"/>
    <x v="2"/>
    <x v="65"/>
    <x v="1"/>
    <x v="5"/>
    <x v="79"/>
    <x v="526"/>
  </r>
  <r>
    <x v="1"/>
    <x v="1"/>
    <x v="65"/>
    <x v="1"/>
    <x v="5"/>
    <x v="121"/>
    <x v="527"/>
  </r>
  <r>
    <x v="2"/>
    <x v="2"/>
    <x v="65"/>
    <x v="1"/>
    <x v="4"/>
    <x v="37"/>
    <x v="528"/>
  </r>
  <r>
    <x v="0"/>
    <x v="0"/>
    <x v="65"/>
    <x v="1"/>
    <x v="10"/>
    <x v="17"/>
    <x v="529"/>
  </r>
  <r>
    <x v="8"/>
    <x v="3"/>
    <x v="65"/>
    <x v="1"/>
    <x v="10"/>
    <x v="140"/>
    <x v="530"/>
  </r>
  <r>
    <x v="0"/>
    <x v="0"/>
    <x v="87"/>
    <x v="1"/>
    <x v="5"/>
    <x v="117"/>
    <x v="531"/>
  </r>
  <r>
    <x v="4"/>
    <x v="3"/>
    <x v="87"/>
    <x v="1"/>
    <x v="0"/>
    <x v="10"/>
    <x v="532"/>
  </r>
  <r>
    <x v="4"/>
    <x v="3"/>
    <x v="87"/>
    <x v="1"/>
    <x v="4"/>
    <x v="118"/>
    <x v="533"/>
  </r>
  <r>
    <x v="8"/>
    <x v="3"/>
    <x v="66"/>
    <x v="1"/>
    <x v="2"/>
    <x v="62"/>
    <x v="534"/>
  </r>
  <r>
    <x v="3"/>
    <x v="0"/>
    <x v="66"/>
    <x v="1"/>
    <x v="4"/>
    <x v="124"/>
    <x v="535"/>
  </r>
  <r>
    <x v="8"/>
    <x v="3"/>
    <x v="67"/>
    <x v="2"/>
    <x v="10"/>
    <x v="22"/>
    <x v="536"/>
  </r>
  <r>
    <x v="8"/>
    <x v="3"/>
    <x v="67"/>
    <x v="2"/>
    <x v="11"/>
    <x v="78"/>
    <x v="537"/>
  </r>
  <r>
    <x v="1"/>
    <x v="1"/>
    <x v="67"/>
    <x v="2"/>
    <x v="6"/>
    <x v="18"/>
    <x v="538"/>
  </r>
  <r>
    <x v="5"/>
    <x v="3"/>
    <x v="0"/>
    <x v="2"/>
    <x v="10"/>
    <x v="69"/>
    <x v="539"/>
  </r>
  <r>
    <x v="1"/>
    <x v="1"/>
    <x v="1"/>
    <x v="2"/>
    <x v="11"/>
    <x v="19"/>
    <x v="186"/>
  </r>
  <r>
    <x v="5"/>
    <x v="3"/>
    <x v="2"/>
    <x v="2"/>
    <x v="9"/>
    <x v="72"/>
    <x v="540"/>
  </r>
  <r>
    <x v="7"/>
    <x v="2"/>
    <x v="2"/>
    <x v="2"/>
    <x v="6"/>
    <x v="124"/>
    <x v="541"/>
  </r>
  <r>
    <x v="7"/>
    <x v="2"/>
    <x v="2"/>
    <x v="2"/>
    <x v="10"/>
    <x v="106"/>
    <x v="542"/>
  </r>
  <r>
    <x v="5"/>
    <x v="3"/>
    <x v="2"/>
    <x v="2"/>
    <x v="10"/>
    <x v="1"/>
    <x v="543"/>
  </r>
  <r>
    <x v="1"/>
    <x v="1"/>
    <x v="3"/>
    <x v="2"/>
    <x v="10"/>
    <x v="86"/>
    <x v="544"/>
  </r>
  <r>
    <x v="8"/>
    <x v="3"/>
    <x v="3"/>
    <x v="2"/>
    <x v="6"/>
    <x v="117"/>
    <x v="545"/>
  </r>
  <r>
    <x v="5"/>
    <x v="3"/>
    <x v="3"/>
    <x v="2"/>
    <x v="10"/>
    <x v="100"/>
    <x v="546"/>
  </r>
  <r>
    <x v="7"/>
    <x v="2"/>
    <x v="4"/>
    <x v="2"/>
    <x v="11"/>
    <x v="135"/>
    <x v="547"/>
  </r>
  <r>
    <x v="5"/>
    <x v="3"/>
    <x v="4"/>
    <x v="2"/>
    <x v="9"/>
    <x v="56"/>
    <x v="548"/>
  </r>
  <r>
    <x v="2"/>
    <x v="2"/>
    <x v="4"/>
    <x v="2"/>
    <x v="11"/>
    <x v="48"/>
    <x v="549"/>
  </r>
  <r>
    <x v="6"/>
    <x v="3"/>
    <x v="4"/>
    <x v="2"/>
    <x v="9"/>
    <x v="131"/>
    <x v="550"/>
  </r>
  <r>
    <x v="1"/>
    <x v="1"/>
    <x v="4"/>
    <x v="2"/>
    <x v="10"/>
    <x v="68"/>
    <x v="551"/>
  </r>
  <r>
    <x v="7"/>
    <x v="2"/>
    <x v="68"/>
    <x v="2"/>
    <x v="11"/>
    <x v="39"/>
    <x v="552"/>
  </r>
  <r>
    <x v="3"/>
    <x v="0"/>
    <x v="68"/>
    <x v="2"/>
    <x v="10"/>
    <x v="117"/>
    <x v="553"/>
  </r>
  <r>
    <x v="7"/>
    <x v="2"/>
    <x v="68"/>
    <x v="2"/>
    <x v="6"/>
    <x v="62"/>
    <x v="554"/>
  </r>
  <r>
    <x v="3"/>
    <x v="0"/>
    <x v="5"/>
    <x v="2"/>
    <x v="11"/>
    <x v="3"/>
    <x v="555"/>
  </r>
  <r>
    <x v="0"/>
    <x v="0"/>
    <x v="6"/>
    <x v="2"/>
    <x v="9"/>
    <x v="84"/>
    <x v="556"/>
  </r>
  <r>
    <x v="2"/>
    <x v="2"/>
    <x v="6"/>
    <x v="2"/>
    <x v="10"/>
    <x v="58"/>
    <x v="557"/>
  </r>
  <r>
    <x v="7"/>
    <x v="2"/>
    <x v="6"/>
    <x v="2"/>
    <x v="9"/>
    <x v="27"/>
    <x v="558"/>
  </r>
  <r>
    <x v="5"/>
    <x v="3"/>
    <x v="6"/>
    <x v="2"/>
    <x v="8"/>
    <x v="3"/>
    <x v="559"/>
  </r>
  <r>
    <x v="8"/>
    <x v="3"/>
    <x v="6"/>
    <x v="2"/>
    <x v="11"/>
    <x v="127"/>
    <x v="560"/>
  </r>
  <r>
    <x v="4"/>
    <x v="3"/>
    <x v="7"/>
    <x v="2"/>
    <x v="10"/>
    <x v="154"/>
    <x v="561"/>
  </r>
  <r>
    <x v="8"/>
    <x v="3"/>
    <x v="7"/>
    <x v="2"/>
    <x v="10"/>
    <x v="50"/>
    <x v="562"/>
  </r>
  <r>
    <x v="8"/>
    <x v="3"/>
    <x v="7"/>
    <x v="2"/>
    <x v="6"/>
    <x v="100"/>
    <x v="563"/>
  </r>
  <r>
    <x v="1"/>
    <x v="1"/>
    <x v="7"/>
    <x v="2"/>
    <x v="10"/>
    <x v="40"/>
    <x v="564"/>
  </r>
  <r>
    <x v="3"/>
    <x v="0"/>
    <x v="7"/>
    <x v="2"/>
    <x v="6"/>
    <x v="4"/>
    <x v="565"/>
  </r>
  <r>
    <x v="0"/>
    <x v="0"/>
    <x v="7"/>
    <x v="2"/>
    <x v="6"/>
    <x v="60"/>
    <x v="566"/>
  </r>
  <r>
    <x v="3"/>
    <x v="0"/>
    <x v="7"/>
    <x v="2"/>
    <x v="10"/>
    <x v="84"/>
    <x v="567"/>
  </r>
  <r>
    <x v="7"/>
    <x v="2"/>
    <x v="8"/>
    <x v="2"/>
    <x v="10"/>
    <x v="19"/>
    <x v="275"/>
  </r>
  <r>
    <x v="2"/>
    <x v="2"/>
    <x v="69"/>
    <x v="2"/>
    <x v="6"/>
    <x v="21"/>
    <x v="568"/>
  </r>
  <r>
    <x v="5"/>
    <x v="3"/>
    <x v="69"/>
    <x v="2"/>
    <x v="9"/>
    <x v="39"/>
    <x v="569"/>
  </r>
  <r>
    <x v="4"/>
    <x v="3"/>
    <x v="69"/>
    <x v="2"/>
    <x v="11"/>
    <x v="85"/>
    <x v="163"/>
  </r>
  <r>
    <x v="0"/>
    <x v="0"/>
    <x v="69"/>
    <x v="2"/>
    <x v="10"/>
    <x v="62"/>
    <x v="570"/>
  </r>
  <r>
    <x v="5"/>
    <x v="3"/>
    <x v="10"/>
    <x v="2"/>
    <x v="10"/>
    <x v="57"/>
    <x v="571"/>
  </r>
  <r>
    <x v="5"/>
    <x v="3"/>
    <x v="10"/>
    <x v="2"/>
    <x v="6"/>
    <x v="57"/>
    <x v="572"/>
  </r>
  <r>
    <x v="1"/>
    <x v="1"/>
    <x v="10"/>
    <x v="2"/>
    <x v="6"/>
    <x v="18"/>
    <x v="573"/>
  </r>
  <r>
    <x v="8"/>
    <x v="3"/>
    <x v="11"/>
    <x v="2"/>
    <x v="10"/>
    <x v="103"/>
    <x v="574"/>
  </r>
  <r>
    <x v="4"/>
    <x v="3"/>
    <x v="11"/>
    <x v="2"/>
    <x v="6"/>
    <x v="72"/>
    <x v="575"/>
  </r>
  <r>
    <x v="0"/>
    <x v="0"/>
    <x v="70"/>
    <x v="2"/>
    <x v="11"/>
    <x v="54"/>
    <x v="576"/>
  </r>
  <r>
    <x v="2"/>
    <x v="2"/>
    <x v="12"/>
    <x v="2"/>
    <x v="6"/>
    <x v="99"/>
    <x v="577"/>
  </r>
  <r>
    <x v="8"/>
    <x v="3"/>
    <x v="13"/>
    <x v="2"/>
    <x v="8"/>
    <x v="103"/>
    <x v="578"/>
  </r>
  <r>
    <x v="8"/>
    <x v="3"/>
    <x v="13"/>
    <x v="2"/>
    <x v="11"/>
    <x v="57"/>
    <x v="579"/>
  </r>
  <r>
    <x v="2"/>
    <x v="2"/>
    <x v="13"/>
    <x v="2"/>
    <x v="6"/>
    <x v="110"/>
    <x v="580"/>
  </r>
  <r>
    <x v="0"/>
    <x v="0"/>
    <x v="14"/>
    <x v="2"/>
    <x v="9"/>
    <x v="4"/>
    <x v="581"/>
  </r>
  <r>
    <x v="0"/>
    <x v="0"/>
    <x v="15"/>
    <x v="2"/>
    <x v="6"/>
    <x v="2"/>
    <x v="582"/>
  </r>
  <r>
    <x v="2"/>
    <x v="2"/>
    <x v="15"/>
    <x v="2"/>
    <x v="6"/>
    <x v="46"/>
    <x v="583"/>
  </r>
  <r>
    <x v="2"/>
    <x v="2"/>
    <x v="15"/>
    <x v="2"/>
    <x v="10"/>
    <x v="47"/>
    <x v="584"/>
  </r>
  <r>
    <x v="5"/>
    <x v="3"/>
    <x v="15"/>
    <x v="2"/>
    <x v="6"/>
    <x v="157"/>
    <x v="585"/>
  </r>
  <r>
    <x v="0"/>
    <x v="0"/>
    <x v="16"/>
    <x v="2"/>
    <x v="6"/>
    <x v="158"/>
    <x v="586"/>
  </r>
  <r>
    <x v="0"/>
    <x v="0"/>
    <x v="16"/>
    <x v="2"/>
    <x v="11"/>
    <x v="159"/>
    <x v="587"/>
  </r>
  <r>
    <x v="5"/>
    <x v="3"/>
    <x v="16"/>
    <x v="2"/>
    <x v="8"/>
    <x v="160"/>
    <x v="588"/>
  </r>
  <r>
    <x v="4"/>
    <x v="3"/>
    <x v="16"/>
    <x v="2"/>
    <x v="6"/>
    <x v="161"/>
    <x v="589"/>
  </r>
  <r>
    <x v="1"/>
    <x v="1"/>
    <x v="16"/>
    <x v="2"/>
    <x v="9"/>
    <x v="162"/>
    <x v="590"/>
  </r>
  <r>
    <x v="1"/>
    <x v="1"/>
    <x v="16"/>
    <x v="2"/>
    <x v="11"/>
    <x v="28"/>
    <x v="591"/>
  </r>
  <r>
    <x v="7"/>
    <x v="2"/>
    <x v="16"/>
    <x v="2"/>
    <x v="6"/>
    <x v="28"/>
    <x v="592"/>
  </r>
  <r>
    <x v="8"/>
    <x v="3"/>
    <x v="16"/>
    <x v="2"/>
    <x v="10"/>
    <x v="5"/>
    <x v="593"/>
  </r>
  <r>
    <x v="2"/>
    <x v="2"/>
    <x v="16"/>
    <x v="2"/>
    <x v="10"/>
    <x v="163"/>
    <x v="594"/>
  </r>
  <r>
    <x v="0"/>
    <x v="0"/>
    <x v="18"/>
    <x v="2"/>
    <x v="6"/>
    <x v="40"/>
    <x v="595"/>
  </r>
  <r>
    <x v="5"/>
    <x v="3"/>
    <x v="18"/>
    <x v="2"/>
    <x v="10"/>
    <x v="19"/>
    <x v="596"/>
  </r>
  <r>
    <x v="0"/>
    <x v="0"/>
    <x v="18"/>
    <x v="2"/>
    <x v="9"/>
    <x v="71"/>
    <x v="597"/>
  </r>
  <r>
    <x v="4"/>
    <x v="3"/>
    <x v="18"/>
    <x v="2"/>
    <x v="6"/>
    <x v="125"/>
    <x v="598"/>
  </r>
  <r>
    <x v="2"/>
    <x v="2"/>
    <x v="18"/>
    <x v="2"/>
    <x v="6"/>
    <x v="3"/>
    <x v="599"/>
  </r>
  <r>
    <x v="8"/>
    <x v="3"/>
    <x v="18"/>
    <x v="2"/>
    <x v="9"/>
    <x v="127"/>
    <x v="600"/>
  </r>
  <r>
    <x v="2"/>
    <x v="2"/>
    <x v="18"/>
    <x v="2"/>
    <x v="10"/>
    <x v="43"/>
    <x v="601"/>
  </r>
  <r>
    <x v="2"/>
    <x v="2"/>
    <x v="18"/>
    <x v="2"/>
    <x v="11"/>
    <x v="122"/>
    <x v="602"/>
  </r>
  <r>
    <x v="4"/>
    <x v="3"/>
    <x v="72"/>
    <x v="2"/>
    <x v="10"/>
    <x v="38"/>
    <x v="603"/>
  </r>
  <r>
    <x v="1"/>
    <x v="1"/>
    <x v="72"/>
    <x v="2"/>
    <x v="11"/>
    <x v="119"/>
    <x v="604"/>
  </r>
  <r>
    <x v="4"/>
    <x v="3"/>
    <x v="73"/>
    <x v="2"/>
    <x v="6"/>
    <x v="38"/>
    <x v="605"/>
  </r>
  <r>
    <x v="5"/>
    <x v="3"/>
    <x v="73"/>
    <x v="2"/>
    <x v="6"/>
    <x v="22"/>
    <x v="606"/>
  </r>
  <r>
    <x v="8"/>
    <x v="3"/>
    <x v="19"/>
    <x v="2"/>
    <x v="6"/>
    <x v="134"/>
    <x v="607"/>
  </r>
  <r>
    <x v="3"/>
    <x v="0"/>
    <x v="19"/>
    <x v="2"/>
    <x v="10"/>
    <x v="164"/>
    <x v="608"/>
  </r>
  <r>
    <x v="8"/>
    <x v="3"/>
    <x v="19"/>
    <x v="2"/>
    <x v="11"/>
    <x v="80"/>
    <x v="609"/>
  </r>
  <r>
    <x v="7"/>
    <x v="2"/>
    <x v="20"/>
    <x v="2"/>
    <x v="10"/>
    <x v="115"/>
    <x v="610"/>
  </r>
  <r>
    <x v="8"/>
    <x v="3"/>
    <x v="22"/>
    <x v="2"/>
    <x v="10"/>
    <x v="39"/>
    <x v="611"/>
  </r>
  <r>
    <x v="2"/>
    <x v="2"/>
    <x v="22"/>
    <x v="2"/>
    <x v="9"/>
    <x v="118"/>
    <x v="612"/>
  </r>
  <r>
    <x v="0"/>
    <x v="0"/>
    <x v="23"/>
    <x v="2"/>
    <x v="6"/>
    <x v="86"/>
    <x v="613"/>
  </r>
  <r>
    <x v="1"/>
    <x v="1"/>
    <x v="23"/>
    <x v="2"/>
    <x v="10"/>
    <x v="99"/>
    <x v="614"/>
  </r>
  <r>
    <x v="1"/>
    <x v="1"/>
    <x v="23"/>
    <x v="2"/>
    <x v="9"/>
    <x v="110"/>
    <x v="554"/>
  </r>
  <r>
    <x v="6"/>
    <x v="3"/>
    <x v="23"/>
    <x v="2"/>
    <x v="9"/>
    <x v="52"/>
    <x v="615"/>
  </r>
  <r>
    <x v="4"/>
    <x v="3"/>
    <x v="23"/>
    <x v="2"/>
    <x v="6"/>
    <x v="4"/>
    <x v="616"/>
  </r>
  <r>
    <x v="8"/>
    <x v="3"/>
    <x v="23"/>
    <x v="2"/>
    <x v="9"/>
    <x v="79"/>
    <x v="617"/>
  </r>
  <r>
    <x v="1"/>
    <x v="1"/>
    <x v="74"/>
    <x v="2"/>
    <x v="6"/>
    <x v="38"/>
    <x v="618"/>
  </r>
  <r>
    <x v="3"/>
    <x v="0"/>
    <x v="74"/>
    <x v="2"/>
    <x v="10"/>
    <x v="44"/>
    <x v="619"/>
  </r>
  <r>
    <x v="1"/>
    <x v="1"/>
    <x v="75"/>
    <x v="2"/>
    <x v="10"/>
    <x v="21"/>
    <x v="620"/>
  </r>
  <r>
    <x v="1"/>
    <x v="1"/>
    <x v="75"/>
    <x v="2"/>
    <x v="6"/>
    <x v="39"/>
    <x v="621"/>
  </r>
  <r>
    <x v="5"/>
    <x v="3"/>
    <x v="75"/>
    <x v="2"/>
    <x v="6"/>
    <x v="25"/>
    <x v="622"/>
  </r>
  <r>
    <x v="5"/>
    <x v="3"/>
    <x v="75"/>
    <x v="2"/>
    <x v="11"/>
    <x v="3"/>
    <x v="623"/>
  </r>
  <r>
    <x v="0"/>
    <x v="0"/>
    <x v="24"/>
    <x v="2"/>
    <x v="6"/>
    <x v="32"/>
    <x v="624"/>
  </r>
  <r>
    <x v="8"/>
    <x v="3"/>
    <x v="24"/>
    <x v="2"/>
    <x v="10"/>
    <x v="44"/>
    <x v="205"/>
  </r>
  <r>
    <x v="2"/>
    <x v="2"/>
    <x v="24"/>
    <x v="2"/>
    <x v="10"/>
    <x v="27"/>
    <x v="625"/>
  </r>
  <r>
    <x v="1"/>
    <x v="1"/>
    <x v="24"/>
    <x v="2"/>
    <x v="10"/>
    <x v="117"/>
    <x v="626"/>
  </r>
  <r>
    <x v="5"/>
    <x v="3"/>
    <x v="24"/>
    <x v="2"/>
    <x v="9"/>
    <x v="135"/>
    <x v="627"/>
  </r>
  <r>
    <x v="7"/>
    <x v="2"/>
    <x v="25"/>
    <x v="2"/>
    <x v="6"/>
    <x v="17"/>
    <x v="628"/>
  </r>
  <r>
    <x v="8"/>
    <x v="3"/>
    <x v="25"/>
    <x v="2"/>
    <x v="10"/>
    <x v="18"/>
    <x v="629"/>
  </r>
  <r>
    <x v="1"/>
    <x v="1"/>
    <x v="25"/>
    <x v="2"/>
    <x v="10"/>
    <x v="110"/>
    <x v="630"/>
  </r>
  <r>
    <x v="1"/>
    <x v="1"/>
    <x v="25"/>
    <x v="2"/>
    <x v="6"/>
    <x v="19"/>
    <x v="631"/>
  </r>
  <r>
    <x v="8"/>
    <x v="3"/>
    <x v="25"/>
    <x v="2"/>
    <x v="9"/>
    <x v="155"/>
    <x v="632"/>
  </r>
  <r>
    <x v="6"/>
    <x v="3"/>
    <x v="25"/>
    <x v="2"/>
    <x v="10"/>
    <x v="3"/>
    <x v="633"/>
  </r>
  <r>
    <x v="1"/>
    <x v="1"/>
    <x v="25"/>
    <x v="2"/>
    <x v="9"/>
    <x v="13"/>
    <x v="634"/>
  </r>
  <r>
    <x v="1"/>
    <x v="1"/>
    <x v="27"/>
    <x v="2"/>
    <x v="9"/>
    <x v="125"/>
    <x v="635"/>
  </r>
  <r>
    <x v="4"/>
    <x v="3"/>
    <x v="27"/>
    <x v="2"/>
    <x v="10"/>
    <x v="165"/>
    <x v="636"/>
  </r>
  <r>
    <x v="4"/>
    <x v="3"/>
    <x v="27"/>
    <x v="2"/>
    <x v="9"/>
    <x v="106"/>
    <x v="637"/>
  </r>
  <r>
    <x v="1"/>
    <x v="1"/>
    <x v="27"/>
    <x v="2"/>
    <x v="6"/>
    <x v="106"/>
    <x v="638"/>
  </r>
  <r>
    <x v="7"/>
    <x v="2"/>
    <x v="28"/>
    <x v="2"/>
    <x v="11"/>
    <x v="56"/>
    <x v="639"/>
  </r>
  <r>
    <x v="3"/>
    <x v="0"/>
    <x v="28"/>
    <x v="2"/>
    <x v="10"/>
    <x v="57"/>
    <x v="640"/>
  </r>
  <r>
    <x v="1"/>
    <x v="1"/>
    <x v="29"/>
    <x v="2"/>
    <x v="11"/>
    <x v="166"/>
    <x v="641"/>
  </r>
  <r>
    <x v="4"/>
    <x v="3"/>
    <x v="29"/>
    <x v="2"/>
    <x v="6"/>
    <x v="37"/>
    <x v="642"/>
  </r>
  <r>
    <x v="7"/>
    <x v="2"/>
    <x v="29"/>
    <x v="2"/>
    <x v="11"/>
    <x v="131"/>
    <x v="643"/>
  </r>
  <r>
    <x v="7"/>
    <x v="2"/>
    <x v="29"/>
    <x v="2"/>
    <x v="9"/>
    <x v="167"/>
    <x v="644"/>
  </r>
  <r>
    <x v="2"/>
    <x v="2"/>
    <x v="30"/>
    <x v="2"/>
    <x v="8"/>
    <x v="1"/>
    <x v="645"/>
  </r>
  <r>
    <x v="2"/>
    <x v="2"/>
    <x v="30"/>
    <x v="2"/>
    <x v="6"/>
    <x v="14"/>
    <x v="646"/>
  </r>
  <r>
    <x v="8"/>
    <x v="3"/>
    <x v="30"/>
    <x v="2"/>
    <x v="8"/>
    <x v="33"/>
    <x v="647"/>
  </r>
  <r>
    <x v="6"/>
    <x v="3"/>
    <x v="30"/>
    <x v="2"/>
    <x v="9"/>
    <x v="92"/>
    <x v="648"/>
  </r>
  <r>
    <x v="6"/>
    <x v="3"/>
    <x v="30"/>
    <x v="2"/>
    <x v="11"/>
    <x v="14"/>
    <x v="649"/>
  </r>
  <r>
    <x v="1"/>
    <x v="1"/>
    <x v="76"/>
    <x v="2"/>
    <x v="11"/>
    <x v="165"/>
    <x v="650"/>
  </r>
  <r>
    <x v="2"/>
    <x v="2"/>
    <x v="76"/>
    <x v="2"/>
    <x v="11"/>
    <x v="97"/>
    <x v="651"/>
  </r>
  <r>
    <x v="5"/>
    <x v="3"/>
    <x v="76"/>
    <x v="2"/>
    <x v="11"/>
    <x v="61"/>
    <x v="652"/>
  </r>
  <r>
    <x v="8"/>
    <x v="3"/>
    <x v="76"/>
    <x v="2"/>
    <x v="6"/>
    <x v="168"/>
    <x v="653"/>
  </r>
  <r>
    <x v="4"/>
    <x v="3"/>
    <x v="76"/>
    <x v="2"/>
    <x v="6"/>
    <x v="62"/>
    <x v="654"/>
  </r>
  <r>
    <x v="6"/>
    <x v="3"/>
    <x v="76"/>
    <x v="2"/>
    <x v="10"/>
    <x v="169"/>
    <x v="655"/>
  </r>
  <r>
    <x v="4"/>
    <x v="3"/>
    <x v="76"/>
    <x v="2"/>
    <x v="10"/>
    <x v="111"/>
    <x v="656"/>
  </r>
  <r>
    <x v="5"/>
    <x v="3"/>
    <x v="88"/>
    <x v="2"/>
    <x v="10"/>
    <x v="7"/>
    <x v="657"/>
  </r>
  <r>
    <x v="3"/>
    <x v="0"/>
    <x v="88"/>
    <x v="2"/>
    <x v="10"/>
    <x v="122"/>
    <x v="658"/>
  </r>
  <r>
    <x v="4"/>
    <x v="3"/>
    <x v="88"/>
    <x v="2"/>
    <x v="11"/>
    <x v="72"/>
    <x v="659"/>
  </r>
  <r>
    <x v="0"/>
    <x v="0"/>
    <x v="31"/>
    <x v="2"/>
    <x v="10"/>
    <x v="23"/>
    <x v="660"/>
  </r>
  <r>
    <x v="4"/>
    <x v="3"/>
    <x v="31"/>
    <x v="2"/>
    <x v="11"/>
    <x v="57"/>
    <x v="661"/>
  </r>
  <r>
    <x v="0"/>
    <x v="0"/>
    <x v="31"/>
    <x v="2"/>
    <x v="6"/>
    <x v="39"/>
    <x v="662"/>
  </r>
  <r>
    <x v="4"/>
    <x v="3"/>
    <x v="77"/>
    <x v="2"/>
    <x v="11"/>
    <x v="78"/>
    <x v="663"/>
  </r>
  <r>
    <x v="4"/>
    <x v="3"/>
    <x v="32"/>
    <x v="2"/>
    <x v="8"/>
    <x v="71"/>
    <x v="664"/>
  </r>
  <r>
    <x v="0"/>
    <x v="0"/>
    <x v="32"/>
    <x v="2"/>
    <x v="9"/>
    <x v="10"/>
    <x v="665"/>
  </r>
  <r>
    <x v="2"/>
    <x v="2"/>
    <x v="32"/>
    <x v="2"/>
    <x v="11"/>
    <x v="54"/>
    <x v="666"/>
  </r>
  <r>
    <x v="1"/>
    <x v="1"/>
    <x v="32"/>
    <x v="2"/>
    <x v="10"/>
    <x v="44"/>
    <x v="452"/>
  </r>
  <r>
    <x v="5"/>
    <x v="3"/>
    <x v="79"/>
    <x v="2"/>
    <x v="9"/>
    <x v="151"/>
    <x v="667"/>
  </r>
  <r>
    <x v="3"/>
    <x v="0"/>
    <x v="33"/>
    <x v="2"/>
    <x v="9"/>
    <x v="95"/>
    <x v="668"/>
  </r>
  <r>
    <x v="5"/>
    <x v="3"/>
    <x v="33"/>
    <x v="2"/>
    <x v="6"/>
    <x v="25"/>
    <x v="669"/>
  </r>
  <r>
    <x v="2"/>
    <x v="2"/>
    <x v="33"/>
    <x v="2"/>
    <x v="9"/>
    <x v="92"/>
    <x v="670"/>
  </r>
  <r>
    <x v="0"/>
    <x v="0"/>
    <x v="34"/>
    <x v="2"/>
    <x v="11"/>
    <x v="19"/>
    <x v="671"/>
  </r>
  <r>
    <x v="4"/>
    <x v="3"/>
    <x v="34"/>
    <x v="2"/>
    <x v="10"/>
    <x v="3"/>
    <x v="672"/>
  </r>
  <r>
    <x v="8"/>
    <x v="3"/>
    <x v="34"/>
    <x v="2"/>
    <x v="10"/>
    <x v="118"/>
    <x v="380"/>
  </r>
  <r>
    <x v="5"/>
    <x v="3"/>
    <x v="80"/>
    <x v="2"/>
    <x v="9"/>
    <x v="19"/>
    <x v="673"/>
  </r>
  <r>
    <x v="1"/>
    <x v="1"/>
    <x v="80"/>
    <x v="2"/>
    <x v="6"/>
    <x v="66"/>
    <x v="674"/>
  </r>
  <r>
    <x v="7"/>
    <x v="2"/>
    <x v="80"/>
    <x v="2"/>
    <x v="10"/>
    <x v="52"/>
    <x v="675"/>
  </r>
  <r>
    <x v="0"/>
    <x v="0"/>
    <x v="80"/>
    <x v="2"/>
    <x v="9"/>
    <x v="124"/>
    <x v="676"/>
  </r>
  <r>
    <x v="5"/>
    <x v="3"/>
    <x v="35"/>
    <x v="2"/>
    <x v="10"/>
    <x v="21"/>
    <x v="677"/>
  </r>
  <r>
    <x v="1"/>
    <x v="1"/>
    <x v="81"/>
    <x v="2"/>
    <x v="6"/>
    <x v="95"/>
    <x v="313"/>
  </r>
  <r>
    <x v="5"/>
    <x v="3"/>
    <x v="82"/>
    <x v="2"/>
    <x v="9"/>
    <x v="118"/>
    <x v="678"/>
  </r>
  <r>
    <x v="0"/>
    <x v="0"/>
    <x v="82"/>
    <x v="2"/>
    <x v="10"/>
    <x v="124"/>
    <x v="679"/>
  </r>
  <r>
    <x v="2"/>
    <x v="2"/>
    <x v="82"/>
    <x v="2"/>
    <x v="10"/>
    <x v="32"/>
    <x v="680"/>
  </r>
  <r>
    <x v="2"/>
    <x v="2"/>
    <x v="37"/>
    <x v="2"/>
    <x v="6"/>
    <x v="54"/>
    <x v="681"/>
  </r>
  <r>
    <x v="3"/>
    <x v="0"/>
    <x v="37"/>
    <x v="2"/>
    <x v="10"/>
    <x v="61"/>
    <x v="682"/>
  </r>
  <r>
    <x v="1"/>
    <x v="1"/>
    <x v="37"/>
    <x v="2"/>
    <x v="11"/>
    <x v="89"/>
    <x v="683"/>
  </r>
  <r>
    <x v="4"/>
    <x v="3"/>
    <x v="37"/>
    <x v="2"/>
    <x v="11"/>
    <x v="32"/>
    <x v="684"/>
  </r>
  <r>
    <x v="3"/>
    <x v="0"/>
    <x v="38"/>
    <x v="2"/>
    <x v="11"/>
    <x v="79"/>
    <x v="685"/>
  </r>
  <r>
    <x v="3"/>
    <x v="0"/>
    <x v="38"/>
    <x v="2"/>
    <x v="6"/>
    <x v="68"/>
    <x v="686"/>
  </r>
  <r>
    <x v="4"/>
    <x v="3"/>
    <x v="38"/>
    <x v="2"/>
    <x v="6"/>
    <x v="1"/>
    <x v="687"/>
  </r>
  <r>
    <x v="4"/>
    <x v="3"/>
    <x v="39"/>
    <x v="2"/>
    <x v="8"/>
    <x v="21"/>
    <x v="688"/>
  </r>
  <r>
    <x v="8"/>
    <x v="3"/>
    <x v="39"/>
    <x v="2"/>
    <x v="6"/>
    <x v="1"/>
    <x v="689"/>
  </r>
  <r>
    <x v="2"/>
    <x v="2"/>
    <x v="40"/>
    <x v="2"/>
    <x v="11"/>
    <x v="25"/>
    <x v="690"/>
  </r>
  <r>
    <x v="4"/>
    <x v="3"/>
    <x v="40"/>
    <x v="2"/>
    <x v="6"/>
    <x v="9"/>
    <x v="691"/>
  </r>
  <r>
    <x v="2"/>
    <x v="2"/>
    <x v="41"/>
    <x v="2"/>
    <x v="6"/>
    <x v="53"/>
    <x v="692"/>
  </r>
  <r>
    <x v="2"/>
    <x v="2"/>
    <x v="42"/>
    <x v="2"/>
    <x v="10"/>
    <x v="170"/>
    <x v="693"/>
  </r>
  <r>
    <x v="1"/>
    <x v="1"/>
    <x v="42"/>
    <x v="2"/>
    <x v="6"/>
    <x v="96"/>
    <x v="694"/>
  </r>
  <r>
    <x v="5"/>
    <x v="3"/>
    <x v="42"/>
    <x v="2"/>
    <x v="6"/>
    <x v="19"/>
    <x v="695"/>
  </r>
  <r>
    <x v="8"/>
    <x v="3"/>
    <x v="42"/>
    <x v="2"/>
    <x v="6"/>
    <x v="171"/>
    <x v="696"/>
  </r>
  <r>
    <x v="1"/>
    <x v="1"/>
    <x v="42"/>
    <x v="2"/>
    <x v="10"/>
    <x v="128"/>
    <x v="697"/>
  </r>
  <r>
    <x v="5"/>
    <x v="3"/>
    <x v="42"/>
    <x v="2"/>
    <x v="9"/>
    <x v="44"/>
    <x v="698"/>
  </r>
  <r>
    <x v="4"/>
    <x v="3"/>
    <x v="42"/>
    <x v="2"/>
    <x v="9"/>
    <x v="34"/>
    <x v="699"/>
  </r>
  <r>
    <x v="2"/>
    <x v="2"/>
    <x v="42"/>
    <x v="2"/>
    <x v="11"/>
    <x v="172"/>
    <x v="700"/>
  </r>
  <r>
    <x v="4"/>
    <x v="3"/>
    <x v="43"/>
    <x v="2"/>
    <x v="10"/>
    <x v="37"/>
    <x v="701"/>
  </r>
  <r>
    <x v="2"/>
    <x v="2"/>
    <x v="44"/>
    <x v="2"/>
    <x v="10"/>
    <x v="59"/>
    <x v="47"/>
  </r>
  <r>
    <x v="3"/>
    <x v="0"/>
    <x v="44"/>
    <x v="2"/>
    <x v="9"/>
    <x v="33"/>
    <x v="702"/>
  </r>
  <r>
    <x v="2"/>
    <x v="2"/>
    <x v="44"/>
    <x v="2"/>
    <x v="8"/>
    <x v="11"/>
    <x v="703"/>
  </r>
  <r>
    <x v="5"/>
    <x v="3"/>
    <x v="44"/>
    <x v="2"/>
    <x v="9"/>
    <x v="40"/>
    <x v="704"/>
  </r>
  <r>
    <x v="0"/>
    <x v="0"/>
    <x v="44"/>
    <x v="2"/>
    <x v="9"/>
    <x v="135"/>
    <x v="705"/>
  </r>
  <r>
    <x v="3"/>
    <x v="0"/>
    <x v="83"/>
    <x v="2"/>
    <x v="6"/>
    <x v="118"/>
    <x v="706"/>
  </r>
  <r>
    <x v="8"/>
    <x v="3"/>
    <x v="83"/>
    <x v="2"/>
    <x v="9"/>
    <x v="57"/>
    <x v="707"/>
  </r>
  <r>
    <x v="7"/>
    <x v="2"/>
    <x v="83"/>
    <x v="2"/>
    <x v="11"/>
    <x v="173"/>
    <x v="708"/>
  </r>
  <r>
    <x v="4"/>
    <x v="3"/>
    <x v="45"/>
    <x v="2"/>
    <x v="6"/>
    <x v="40"/>
    <x v="709"/>
  </r>
  <r>
    <x v="8"/>
    <x v="3"/>
    <x v="45"/>
    <x v="2"/>
    <x v="8"/>
    <x v="11"/>
    <x v="710"/>
  </r>
  <r>
    <x v="1"/>
    <x v="1"/>
    <x v="45"/>
    <x v="2"/>
    <x v="10"/>
    <x v="106"/>
    <x v="711"/>
  </r>
  <r>
    <x v="7"/>
    <x v="2"/>
    <x v="45"/>
    <x v="2"/>
    <x v="9"/>
    <x v="9"/>
    <x v="712"/>
  </r>
  <r>
    <x v="2"/>
    <x v="2"/>
    <x v="45"/>
    <x v="2"/>
    <x v="11"/>
    <x v="51"/>
    <x v="713"/>
  </r>
  <r>
    <x v="1"/>
    <x v="1"/>
    <x v="45"/>
    <x v="2"/>
    <x v="11"/>
    <x v="21"/>
    <x v="714"/>
  </r>
  <r>
    <x v="7"/>
    <x v="2"/>
    <x v="46"/>
    <x v="2"/>
    <x v="10"/>
    <x v="62"/>
    <x v="695"/>
  </r>
  <r>
    <x v="5"/>
    <x v="3"/>
    <x v="46"/>
    <x v="2"/>
    <x v="6"/>
    <x v="102"/>
    <x v="715"/>
  </r>
  <r>
    <x v="4"/>
    <x v="3"/>
    <x v="46"/>
    <x v="2"/>
    <x v="6"/>
    <x v="21"/>
    <x v="716"/>
  </r>
  <r>
    <x v="5"/>
    <x v="3"/>
    <x v="46"/>
    <x v="2"/>
    <x v="9"/>
    <x v="117"/>
    <x v="717"/>
  </r>
  <r>
    <x v="6"/>
    <x v="3"/>
    <x v="46"/>
    <x v="2"/>
    <x v="11"/>
    <x v="52"/>
    <x v="718"/>
  </r>
  <r>
    <x v="4"/>
    <x v="3"/>
    <x v="47"/>
    <x v="2"/>
    <x v="6"/>
    <x v="140"/>
    <x v="719"/>
  </r>
  <r>
    <x v="8"/>
    <x v="3"/>
    <x v="47"/>
    <x v="2"/>
    <x v="9"/>
    <x v="2"/>
    <x v="720"/>
  </r>
  <r>
    <x v="6"/>
    <x v="3"/>
    <x v="47"/>
    <x v="2"/>
    <x v="11"/>
    <x v="131"/>
    <x v="721"/>
  </r>
  <r>
    <x v="8"/>
    <x v="3"/>
    <x v="47"/>
    <x v="2"/>
    <x v="11"/>
    <x v="126"/>
    <x v="722"/>
  </r>
  <r>
    <x v="2"/>
    <x v="2"/>
    <x v="48"/>
    <x v="2"/>
    <x v="8"/>
    <x v="60"/>
    <x v="723"/>
  </r>
  <r>
    <x v="0"/>
    <x v="0"/>
    <x v="48"/>
    <x v="2"/>
    <x v="6"/>
    <x v="42"/>
    <x v="724"/>
  </r>
  <r>
    <x v="7"/>
    <x v="2"/>
    <x v="48"/>
    <x v="2"/>
    <x v="10"/>
    <x v="51"/>
    <x v="725"/>
  </r>
  <r>
    <x v="5"/>
    <x v="3"/>
    <x v="48"/>
    <x v="2"/>
    <x v="10"/>
    <x v="11"/>
    <x v="726"/>
  </r>
  <r>
    <x v="5"/>
    <x v="3"/>
    <x v="49"/>
    <x v="2"/>
    <x v="10"/>
    <x v="15"/>
    <x v="727"/>
  </r>
  <r>
    <x v="4"/>
    <x v="3"/>
    <x v="49"/>
    <x v="2"/>
    <x v="6"/>
    <x v="127"/>
    <x v="728"/>
  </r>
  <r>
    <x v="4"/>
    <x v="3"/>
    <x v="50"/>
    <x v="2"/>
    <x v="6"/>
    <x v="54"/>
    <x v="729"/>
  </r>
  <r>
    <x v="8"/>
    <x v="3"/>
    <x v="50"/>
    <x v="2"/>
    <x v="9"/>
    <x v="57"/>
    <x v="730"/>
  </r>
  <r>
    <x v="1"/>
    <x v="1"/>
    <x v="50"/>
    <x v="2"/>
    <x v="11"/>
    <x v="85"/>
    <x v="731"/>
  </r>
  <r>
    <x v="0"/>
    <x v="0"/>
    <x v="51"/>
    <x v="2"/>
    <x v="6"/>
    <x v="174"/>
    <x v="732"/>
  </r>
  <r>
    <x v="8"/>
    <x v="3"/>
    <x v="51"/>
    <x v="2"/>
    <x v="8"/>
    <x v="175"/>
    <x v="733"/>
  </r>
  <r>
    <x v="3"/>
    <x v="0"/>
    <x v="51"/>
    <x v="2"/>
    <x v="6"/>
    <x v="136"/>
    <x v="734"/>
  </r>
  <r>
    <x v="0"/>
    <x v="0"/>
    <x v="51"/>
    <x v="2"/>
    <x v="10"/>
    <x v="148"/>
    <x v="735"/>
  </r>
  <r>
    <x v="4"/>
    <x v="3"/>
    <x v="51"/>
    <x v="2"/>
    <x v="10"/>
    <x v="98"/>
    <x v="736"/>
  </r>
  <r>
    <x v="8"/>
    <x v="3"/>
    <x v="51"/>
    <x v="2"/>
    <x v="9"/>
    <x v="176"/>
    <x v="737"/>
  </r>
  <r>
    <x v="5"/>
    <x v="3"/>
    <x v="51"/>
    <x v="2"/>
    <x v="9"/>
    <x v="140"/>
    <x v="738"/>
  </r>
  <r>
    <x v="5"/>
    <x v="3"/>
    <x v="51"/>
    <x v="2"/>
    <x v="11"/>
    <x v="177"/>
    <x v="739"/>
  </r>
  <r>
    <x v="8"/>
    <x v="3"/>
    <x v="51"/>
    <x v="2"/>
    <x v="10"/>
    <x v="132"/>
    <x v="740"/>
  </r>
  <r>
    <x v="4"/>
    <x v="3"/>
    <x v="51"/>
    <x v="2"/>
    <x v="11"/>
    <x v="61"/>
    <x v="741"/>
  </r>
  <r>
    <x v="5"/>
    <x v="3"/>
    <x v="51"/>
    <x v="2"/>
    <x v="6"/>
    <x v="35"/>
    <x v="742"/>
  </r>
  <r>
    <x v="6"/>
    <x v="3"/>
    <x v="52"/>
    <x v="2"/>
    <x v="9"/>
    <x v="31"/>
    <x v="743"/>
  </r>
  <r>
    <x v="0"/>
    <x v="0"/>
    <x v="53"/>
    <x v="2"/>
    <x v="8"/>
    <x v="38"/>
    <x v="744"/>
  </r>
  <r>
    <x v="1"/>
    <x v="1"/>
    <x v="54"/>
    <x v="2"/>
    <x v="10"/>
    <x v="39"/>
    <x v="745"/>
  </r>
  <r>
    <x v="8"/>
    <x v="3"/>
    <x v="54"/>
    <x v="2"/>
    <x v="11"/>
    <x v="50"/>
    <x v="746"/>
  </r>
  <r>
    <x v="6"/>
    <x v="3"/>
    <x v="84"/>
    <x v="2"/>
    <x v="6"/>
    <x v="39"/>
    <x v="341"/>
  </r>
  <r>
    <x v="1"/>
    <x v="1"/>
    <x v="84"/>
    <x v="2"/>
    <x v="10"/>
    <x v="122"/>
    <x v="747"/>
  </r>
  <r>
    <x v="3"/>
    <x v="0"/>
    <x v="84"/>
    <x v="2"/>
    <x v="9"/>
    <x v="38"/>
    <x v="748"/>
  </r>
  <r>
    <x v="4"/>
    <x v="3"/>
    <x v="55"/>
    <x v="2"/>
    <x v="6"/>
    <x v="71"/>
    <x v="749"/>
  </r>
  <r>
    <x v="8"/>
    <x v="3"/>
    <x v="55"/>
    <x v="2"/>
    <x v="6"/>
    <x v="110"/>
    <x v="750"/>
  </r>
  <r>
    <x v="5"/>
    <x v="3"/>
    <x v="55"/>
    <x v="2"/>
    <x v="10"/>
    <x v="125"/>
    <x v="751"/>
  </r>
  <r>
    <x v="3"/>
    <x v="0"/>
    <x v="55"/>
    <x v="2"/>
    <x v="9"/>
    <x v="94"/>
    <x v="752"/>
  </r>
  <r>
    <x v="4"/>
    <x v="3"/>
    <x v="55"/>
    <x v="2"/>
    <x v="11"/>
    <x v="51"/>
    <x v="753"/>
  </r>
  <r>
    <x v="6"/>
    <x v="3"/>
    <x v="55"/>
    <x v="2"/>
    <x v="11"/>
    <x v="178"/>
    <x v="754"/>
  </r>
  <r>
    <x v="8"/>
    <x v="3"/>
    <x v="56"/>
    <x v="2"/>
    <x v="6"/>
    <x v="115"/>
    <x v="755"/>
  </r>
  <r>
    <x v="1"/>
    <x v="1"/>
    <x v="85"/>
    <x v="2"/>
    <x v="6"/>
    <x v="1"/>
    <x v="756"/>
  </r>
  <r>
    <x v="4"/>
    <x v="3"/>
    <x v="57"/>
    <x v="2"/>
    <x v="10"/>
    <x v="82"/>
    <x v="757"/>
  </r>
  <r>
    <x v="8"/>
    <x v="3"/>
    <x v="58"/>
    <x v="2"/>
    <x v="8"/>
    <x v="44"/>
    <x v="187"/>
  </r>
  <r>
    <x v="4"/>
    <x v="3"/>
    <x v="58"/>
    <x v="2"/>
    <x v="9"/>
    <x v="3"/>
    <x v="758"/>
  </r>
  <r>
    <x v="8"/>
    <x v="3"/>
    <x v="58"/>
    <x v="2"/>
    <x v="11"/>
    <x v="82"/>
    <x v="759"/>
  </r>
  <r>
    <x v="1"/>
    <x v="1"/>
    <x v="59"/>
    <x v="2"/>
    <x v="11"/>
    <x v="87"/>
    <x v="760"/>
  </r>
  <r>
    <x v="8"/>
    <x v="3"/>
    <x v="59"/>
    <x v="2"/>
    <x v="11"/>
    <x v="62"/>
    <x v="761"/>
  </r>
  <r>
    <x v="5"/>
    <x v="3"/>
    <x v="59"/>
    <x v="2"/>
    <x v="11"/>
    <x v="179"/>
    <x v="762"/>
  </r>
  <r>
    <x v="3"/>
    <x v="0"/>
    <x v="86"/>
    <x v="2"/>
    <x v="11"/>
    <x v="103"/>
    <x v="763"/>
  </r>
  <r>
    <x v="8"/>
    <x v="3"/>
    <x v="60"/>
    <x v="2"/>
    <x v="10"/>
    <x v="34"/>
    <x v="764"/>
  </r>
  <r>
    <x v="4"/>
    <x v="3"/>
    <x v="60"/>
    <x v="2"/>
    <x v="6"/>
    <x v="22"/>
    <x v="765"/>
  </r>
  <r>
    <x v="8"/>
    <x v="3"/>
    <x v="61"/>
    <x v="2"/>
    <x v="11"/>
    <x v="53"/>
    <x v="766"/>
  </r>
  <r>
    <x v="5"/>
    <x v="3"/>
    <x v="61"/>
    <x v="2"/>
    <x v="11"/>
    <x v="86"/>
    <x v="767"/>
  </r>
  <r>
    <x v="1"/>
    <x v="1"/>
    <x v="61"/>
    <x v="2"/>
    <x v="11"/>
    <x v="27"/>
    <x v="768"/>
  </r>
  <r>
    <x v="3"/>
    <x v="0"/>
    <x v="63"/>
    <x v="2"/>
    <x v="6"/>
    <x v="21"/>
    <x v="769"/>
  </r>
  <r>
    <x v="5"/>
    <x v="3"/>
    <x v="64"/>
    <x v="2"/>
    <x v="10"/>
    <x v="54"/>
    <x v="770"/>
  </r>
  <r>
    <x v="8"/>
    <x v="3"/>
    <x v="64"/>
    <x v="2"/>
    <x v="9"/>
    <x v="95"/>
    <x v="771"/>
  </r>
  <r>
    <x v="7"/>
    <x v="2"/>
    <x v="64"/>
    <x v="2"/>
    <x v="9"/>
    <x v="44"/>
    <x v="772"/>
  </r>
  <r>
    <x v="0"/>
    <x v="0"/>
    <x v="64"/>
    <x v="2"/>
    <x v="11"/>
    <x v="44"/>
    <x v="773"/>
  </r>
  <r>
    <x v="1"/>
    <x v="1"/>
    <x v="65"/>
    <x v="2"/>
    <x v="9"/>
    <x v="3"/>
    <x v="774"/>
  </r>
  <r>
    <x v="5"/>
    <x v="3"/>
    <x v="65"/>
    <x v="2"/>
    <x v="11"/>
    <x v="34"/>
    <x v="775"/>
  </r>
  <r>
    <x v="0"/>
    <x v="0"/>
    <x v="65"/>
    <x v="2"/>
    <x v="8"/>
    <x v="9"/>
    <x v="776"/>
  </r>
  <r>
    <x v="4"/>
    <x v="3"/>
    <x v="65"/>
    <x v="2"/>
    <x v="6"/>
    <x v="14"/>
    <x v="777"/>
  </r>
  <r>
    <x v="8"/>
    <x v="3"/>
    <x v="87"/>
    <x v="2"/>
    <x v="9"/>
    <x v="85"/>
    <x v="778"/>
  </r>
  <r>
    <x v="5"/>
    <x v="3"/>
    <x v="87"/>
    <x v="2"/>
    <x v="9"/>
    <x v="119"/>
    <x v="779"/>
  </r>
  <r>
    <x v="1"/>
    <x v="1"/>
    <x v="87"/>
    <x v="2"/>
    <x v="9"/>
    <x v="57"/>
    <x v="780"/>
  </r>
  <r>
    <x v="4"/>
    <x v="3"/>
    <x v="87"/>
    <x v="2"/>
    <x v="6"/>
    <x v="66"/>
    <x v="781"/>
  </r>
  <r>
    <x v="5"/>
    <x v="3"/>
    <x v="66"/>
    <x v="2"/>
    <x v="9"/>
    <x v="10"/>
    <x v="782"/>
  </r>
  <r>
    <x v="5"/>
    <x v="3"/>
    <x v="66"/>
    <x v="2"/>
    <x v="6"/>
    <x v="66"/>
    <x v="783"/>
  </r>
  <r>
    <x v="2"/>
    <x v="2"/>
    <x v="66"/>
    <x v="2"/>
    <x v="6"/>
    <x v="55"/>
    <x v="784"/>
  </r>
  <r>
    <x v="6"/>
    <x v="3"/>
    <x v="66"/>
    <x v="2"/>
    <x v="9"/>
    <x v="118"/>
    <x v="78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93AEC6-BF06-4A8C-9C5D-1CAFC8C5C2A7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H48:I84" firstHeaderRow="1" firstDataRow="1" firstDataCol="1"/>
  <pivotFields count="7">
    <pivotField showAll="0">
      <items count="10">
        <item x="8"/>
        <item x="4"/>
        <item x="1"/>
        <item x="5"/>
        <item x="6"/>
        <item x="3"/>
        <item x="0"/>
        <item x="2"/>
        <item x="7"/>
        <item t="default"/>
      </items>
    </pivotField>
    <pivotField showAll="0"/>
    <pivotField showAll="0" measureFilter="1">
      <items count="90">
        <item x="67"/>
        <item x="0"/>
        <item x="1"/>
        <item x="2"/>
        <item x="4"/>
        <item x="68"/>
        <item x="5"/>
        <item x="8"/>
        <item x="6"/>
        <item x="7"/>
        <item x="3"/>
        <item x="69"/>
        <item x="9"/>
        <item x="10"/>
        <item x="11"/>
        <item x="70"/>
        <item x="12"/>
        <item x="13"/>
        <item x="14"/>
        <item x="15"/>
        <item x="16"/>
        <item x="17"/>
        <item x="71"/>
        <item x="18"/>
        <item x="72"/>
        <item x="73"/>
        <item x="19"/>
        <item x="20"/>
        <item x="22"/>
        <item x="23"/>
        <item x="74"/>
        <item x="75"/>
        <item x="21"/>
        <item x="25"/>
        <item x="24"/>
        <item x="26"/>
        <item x="27"/>
        <item x="28"/>
        <item x="29"/>
        <item x="88"/>
        <item x="31"/>
        <item x="77"/>
        <item x="78"/>
        <item x="32"/>
        <item x="79"/>
        <item x="30"/>
        <item x="76"/>
        <item x="33"/>
        <item x="34"/>
        <item x="80"/>
        <item x="36"/>
        <item x="35"/>
        <item x="81"/>
        <item x="82"/>
        <item x="37"/>
        <item x="38"/>
        <item x="39"/>
        <item x="40"/>
        <item x="41"/>
        <item x="43"/>
        <item x="44"/>
        <item x="42"/>
        <item x="83"/>
        <item x="45"/>
        <item x="46"/>
        <item x="47"/>
        <item x="48"/>
        <item x="49"/>
        <item x="50"/>
        <item x="51"/>
        <item x="52"/>
        <item x="53"/>
        <item x="84"/>
        <item x="54"/>
        <item x="55"/>
        <item x="56"/>
        <item x="85"/>
        <item x="57"/>
        <item x="58"/>
        <item x="59"/>
        <item x="86"/>
        <item x="60"/>
        <item x="61"/>
        <item x="62"/>
        <item x="63"/>
        <item x="64"/>
        <item x="65"/>
        <item x="87"/>
        <item x="66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Row" showAll="0">
      <items count="13">
        <item x="11"/>
        <item x="9"/>
        <item x="10"/>
        <item x="6"/>
        <item x="8"/>
        <item x="7"/>
        <item x="4"/>
        <item x="3"/>
        <item x="0"/>
        <item x="5"/>
        <item x="1"/>
        <item x="2"/>
        <item t="default"/>
      </items>
    </pivotField>
    <pivotField showAll="0"/>
    <pivotField dataField="1" showAll="0"/>
  </pivotFields>
  <rowFields count="2">
    <field x="4"/>
    <field x="3"/>
  </rowFields>
  <rowItems count="36">
    <i>
      <x/>
    </i>
    <i r="1">
      <x v="1"/>
    </i>
    <i r="1">
      <x v="2"/>
    </i>
    <i>
      <x v="1"/>
    </i>
    <i r="1">
      <x v="1"/>
    </i>
    <i r="1">
      <x v="2"/>
    </i>
    <i>
      <x v="2"/>
    </i>
    <i r="1">
      <x v="1"/>
    </i>
    <i r="1">
      <x v="2"/>
    </i>
    <i>
      <x v="3"/>
    </i>
    <i r="1">
      <x v="1"/>
    </i>
    <i r="1">
      <x v="2"/>
    </i>
    <i>
      <x v="4"/>
    </i>
    <i r="1">
      <x v="1"/>
    </i>
    <i r="1">
      <x v="2"/>
    </i>
    <i>
      <x v="5"/>
    </i>
    <i r="1">
      <x v="1"/>
    </i>
    <i>
      <x v="6"/>
    </i>
    <i r="1">
      <x/>
    </i>
    <i r="1">
      <x v="1"/>
    </i>
    <i>
      <x v="7"/>
    </i>
    <i r="1">
      <x/>
    </i>
    <i r="1">
      <x v="1"/>
    </i>
    <i>
      <x v="8"/>
    </i>
    <i r="1">
      <x/>
    </i>
    <i r="1">
      <x v="1"/>
    </i>
    <i>
      <x v="9"/>
    </i>
    <i r="1">
      <x/>
    </i>
    <i r="1">
      <x v="1"/>
    </i>
    <i>
      <x v="10"/>
    </i>
    <i r="1">
      <x/>
    </i>
    <i r="1">
      <x v="1"/>
    </i>
    <i>
      <x v="11"/>
    </i>
    <i r="1">
      <x/>
    </i>
    <i r="1">
      <x v="1"/>
    </i>
    <i t="grand">
      <x/>
    </i>
  </rowItems>
  <colItems count="1">
    <i/>
  </colItems>
  <dataFields count="1">
    <dataField name="Sum of Total Sales" fld="6" baseField="0" baseItem="0" numFmtId="164"/>
  </dataFields>
  <formats count="10">
    <format dxfId="9">
      <pivotArea type="all" dataOnly="0" outline="0" fieldPosition="0"/>
    </format>
    <format dxfId="8">
      <pivotArea outline="0" collapsedLevelsAreSubtotals="1" fieldPosition="0"/>
    </format>
    <format dxfId="7">
      <pivotArea type="origin" dataOnly="0" labelOnly="1" outline="0" fieldPosition="0"/>
    </format>
    <format dxfId="6">
      <pivotArea field="4" type="button" dataOnly="0" labelOnly="1" outline="0" axis="axisRow" fieldPosition="0"/>
    </format>
    <format dxfId="5">
      <pivotArea type="topRight" dataOnly="0" labelOnly="1" outline="0" fieldPosition="0"/>
    </format>
    <format dxfId="4">
      <pivotArea field="0" type="button" dataOnly="0" labelOnly="1" outline="0"/>
    </format>
    <format dxfId="3">
      <pivotArea dataOnly="0" labelOnly="1" grandRow="1" outline="0" fieldPosition="0"/>
    </format>
    <format dxfId="2">
      <pivotArea dataOnly="0" labelOnly="1" fieldPosition="0">
        <references count="1">
          <reference field="4" count="0"/>
        </references>
      </pivotArea>
    </format>
    <format dxfId="1">
      <pivotArea dataOnly="0" labelOnly="1" grandCol="1" outline="0" fieldPosition="0"/>
    </format>
    <format dxfId="0">
      <pivotArea outline="0" collapsedLevelsAreSubtotals="1" fieldPosition="0"/>
    </format>
  </formats>
  <chartFormats count="39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1"/>
          </reference>
        </references>
      </pivotArea>
    </chartFormat>
    <chartFormat chart="12" format="2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0"/>
          </reference>
        </references>
      </pivotArea>
    </chartFormat>
    <chartFormat chart="12" format="3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0"/>
          </reference>
        </references>
      </pivotArea>
    </chartFormat>
    <chartFormat chart="12" format="4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9"/>
          </reference>
        </references>
      </pivotArea>
    </chartFormat>
    <chartFormat chart="12" format="5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8"/>
          </reference>
        </references>
      </pivotArea>
    </chartFormat>
    <chartFormat chart="12" format="6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8"/>
          </reference>
        </references>
      </pivotArea>
    </chartFormat>
    <chartFormat chart="12" format="7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7"/>
          </reference>
        </references>
      </pivotArea>
    </chartFormat>
    <chartFormat chart="12" format="8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6"/>
          </reference>
        </references>
      </pivotArea>
    </chartFormat>
    <chartFormat chart="12" format="9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5"/>
          </reference>
        </references>
      </pivotArea>
    </chartFormat>
    <chartFormat chart="12" format="10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4"/>
          </reference>
        </references>
      </pivotArea>
    </chartFormat>
    <chartFormat chart="12" format="11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4"/>
          </reference>
        </references>
      </pivotArea>
    </chartFormat>
    <chartFormat chart="12" format="12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3"/>
          </reference>
        </references>
      </pivotArea>
    </chartFormat>
    <chartFormat chart="12" format="13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0"/>
          </reference>
        </references>
      </pivotArea>
    </chartFormat>
    <chartFormat chart="12" format="14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"/>
          </reference>
        </references>
      </pivotArea>
    </chartFormat>
    <chartFormat chart="12" format="15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0"/>
          </reference>
        </references>
      </pivotArea>
    </chartFormat>
    <chartFormat chart="12" format="16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"/>
          </reference>
        </references>
      </pivotArea>
    </chartFormat>
    <chartFormat chart="12" format="17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2"/>
          </reference>
        </references>
      </pivotArea>
    </chartFormat>
    <chartFormat chart="12" format="18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2"/>
          </reference>
        </references>
      </pivotArea>
    </chartFormat>
    <chartFormat chart="17" format="4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41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0"/>
          </reference>
        </references>
      </pivotArea>
    </chartFormat>
    <chartFormat chart="17" format="42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0"/>
          </reference>
        </references>
      </pivotArea>
    </chartFormat>
    <chartFormat chart="17" format="43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"/>
          </reference>
        </references>
      </pivotArea>
    </chartFormat>
    <chartFormat chart="17" format="44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"/>
          </reference>
        </references>
      </pivotArea>
    </chartFormat>
    <chartFormat chart="17" format="45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2"/>
          </reference>
        </references>
      </pivotArea>
    </chartFormat>
    <chartFormat chart="17" format="46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2"/>
          </reference>
        </references>
      </pivotArea>
    </chartFormat>
    <chartFormat chart="17" format="47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3"/>
          </reference>
        </references>
      </pivotArea>
    </chartFormat>
    <chartFormat chart="17" format="48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3"/>
          </reference>
        </references>
      </pivotArea>
    </chartFormat>
    <chartFormat chart="17" format="49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4"/>
          </reference>
        </references>
      </pivotArea>
    </chartFormat>
    <chartFormat chart="17" format="50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4"/>
          </reference>
        </references>
      </pivotArea>
    </chartFormat>
    <chartFormat chart="17" format="51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5"/>
          </reference>
        </references>
      </pivotArea>
    </chartFormat>
    <chartFormat chart="17" format="52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6"/>
          </reference>
        </references>
      </pivotArea>
    </chartFormat>
    <chartFormat chart="17" format="53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7"/>
          </reference>
        </references>
      </pivotArea>
    </chartFormat>
    <chartFormat chart="17" format="54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8"/>
          </reference>
        </references>
      </pivotArea>
    </chartFormat>
    <chartFormat chart="17" format="55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8"/>
          </reference>
        </references>
      </pivotArea>
    </chartFormat>
    <chartFormat chart="17" format="56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9"/>
          </reference>
        </references>
      </pivotArea>
    </chartFormat>
    <chartFormat chart="17" format="57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0"/>
          </reference>
        </references>
      </pivotArea>
    </chartFormat>
    <chartFormat chart="17" format="58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0"/>
          </reference>
        </references>
      </pivotArea>
    </chartFormat>
    <chartFormat chart="17" format="59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F5F8E9-DCFC-4FEC-BA1D-69E61F42D61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E2:F12" firstHeaderRow="1" firstDataRow="1" firstDataCol="1"/>
  <pivotFields count="7">
    <pivotField axis="axisRow" showAll="0">
      <items count="10">
        <item x="8"/>
        <item x="4"/>
        <item x="1"/>
        <item x="5"/>
        <item x="6"/>
        <item x="3"/>
        <item x="0"/>
        <item x="2"/>
        <item x="7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Total Quantity" fld="5" baseField="0" baseItem="0" numFmtId="167"/>
  </dataFields>
  <formats count="7">
    <format dxfId="16">
      <pivotArea type="all" dataOnly="0" outline="0" fieldPosition="0"/>
    </format>
    <format dxfId="15">
      <pivotArea outline="0" collapsedLevelsAreSubtotals="1" fieldPosition="0"/>
    </format>
    <format dxfId="14">
      <pivotArea field="0" type="button" dataOnly="0" labelOnly="1" outline="0" axis="axisRow" fieldPosition="0"/>
    </format>
    <format dxfId="13">
      <pivotArea dataOnly="0" labelOnly="1" fieldPosition="0">
        <references count="1">
          <reference field="0" count="0"/>
        </references>
      </pivotArea>
    </format>
    <format dxfId="12">
      <pivotArea dataOnly="0" labelOnly="1" grandRow="1" outline="0" fieldPosition="0"/>
    </format>
    <format dxfId="11">
      <pivotArea dataOnly="0" labelOnly="1" outline="0" axis="axisValues" fieldPosition="0"/>
    </format>
    <format dxfId="10">
      <pivotArea outline="0" collapsedLevelsAreSubtotals="1" fieldPosition="0"/>
    </format>
  </format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E81D44-8868-440A-820B-3A12D741B424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H33:M45" firstHeaderRow="1" firstDataRow="2" firstDataCol="1"/>
  <pivotFields count="7">
    <pivotField showAll="0">
      <items count="10">
        <item x="8"/>
        <item x="4"/>
        <item x="1"/>
        <item x="5"/>
        <item x="6"/>
        <item x="3"/>
        <item x="0"/>
        <item x="2"/>
        <item x="7"/>
        <item t="default"/>
      </items>
    </pivotField>
    <pivotField axis="axisCol" showAll="0">
      <items count="5">
        <item x="3"/>
        <item x="2"/>
        <item x="1"/>
        <item x="0"/>
        <item t="default"/>
      </items>
    </pivotField>
    <pivotField axis="axisRow" showAll="0" measureFilter="1">
      <items count="90">
        <item x="67"/>
        <item x="0"/>
        <item x="1"/>
        <item x="2"/>
        <item x="4"/>
        <item x="68"/>
        <item x="5"/>
        <item x="8"/>
        <item x="6"/>
        <item x="7"/>
        <item x="3"/>
        <item x="69"/>
        <item x="9"/>
        <item x="10"/>
        <item x="11"/>
        <item x="70"/>
        <item x="12"/>
        <item x="13"/>
        <item x="14"/>
        <item x="15"/>
        <item x="16"/>
        <item x="17"/>
        <item x="71"/>
        <item x="18"/>
        <item x="72"/>
        <item x="73"/>
        <item x="19"/>
        <item x="20"/>
        <item x="22"/>
        <item x="23"/>
        <item x="74"/>
        <item x="75"/>
        <item x="21"/>
        <item x="25"/>
        <item x="24"/>
        <item x="26"/>
        <item x="27"/>
        <item x="28"/>
        <item x="29"/>
        <item x="88"/>
        <item x="31"/>
        <item x="77"/>
        <item x="78"/>
        <item x="32"/>
        <item x="79"/>
        <item x="30"/>
        <item x="76"/>
        <item x="33"/>
        <item x="34"/>
        <item x="80"/>
        <item x="36"/>
        <item x="35"/>
        <item x="81"/>
        <item x="82"/>
        <item x="37"/>
        <item x="38"/>
        <item x="39"/>
        <item x="40"/>
        <item x="41"/>
        <item x="43"/>
        <item x="44"/>
        <item x="42"/>
        <item x="83"/>
        <item x="45"/>
        <item x="46"/>
        <item x="47"/>
        <item x="48"/>
        <item x="49"/>
        <item x="50"/>
        <item x="51"/>
        <item x="52"/>
        <item x="53"/>
        <item x="84"/>
        <item x="54"/>
        <item x="55"/>
        <item x="56"/>
        <item x="85"/>
        <item x="57"/>
        <item x="58"/>
        <item x="59"/>
        <item x="86"/>
        <item x="60"/>
        <item x="61"/>
        <item x="62"/>
        <item x="63"/>
        <item x="64"/>
        <item x="65"/>
        <item x="87"/>
        <item x="66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2"/>
  </rowFields>
  <rowItems count="11">
    <i>
      <x v="20"/>
    </i>
    <i>
      <x v="23"/>
    </i>
    <i>
      <x v="26"/>
    </i>
    <i>
      <x v="34"/>
    </i>
    <i>
      <x v="36"/>
    </i>
    <i>
      <x v="61"/>
    </i>
    <i>
      <x v="63"/>
    </i>
    <i>
      <x v="69"/>
    </i>
    <i>
      <x v="74"/>
    </i>
    <i>
      <x v="86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Total Quantity" fld="5" baseField="0" baseItem="0"/>
  </dataFields>
  <formats count="10">
    <format dxfId="26">
      <pivotArea type="all" dataOnly="0" outline="0" fieldPosition="0"/>
    </format>
    <format dxfId="25">
      <pivotArea outline="0" collapsedLevelsAreSubtotals="1" fieldPosition="0"/>
    </format>
    <format dxfId="24">
      <pivotArea type="origin" dataOnly="0" labelOnly="1" outline="0" fieldPosition="0"/>
    </format>
    <format dxfId="23">
      <pivotArea field="1" type="button" dataOnly="0" labelOnly="1" outline="0" axis="axisCol" fieldPosition="0"/>
    </format>
    <format dxfId="22">
      <pivotArea type="topRight" dataOnly="0" labelOnly="1" outline="0" fieldPosition="0"/>
    </format>
    <format dxfId="21">
      <pivotArea field="2" type="button" dataOnly="0" labelOnly="1" outline="0" axis="axisRow" fieldPosition="0"/>
    </format>
    <format dxfId="20">
      <pivotArea dataOnly="0" labelOnly="1" fieldPosition="0">
        <references count="1">
          <reference field="2" count="10">
            <x v="20"/>
            <x v="23"/>
            <x v="26"/>
            <x v="34"/>
            <x v="36"/>
            <x v="61"/>
            <x v="63"/>
            <x v="69"/>
            <x v="74"/>
            <x v="86"/>
          </reference>
        </references>
      </pivotArea>
    </format>
    <format dxfId="19">
      <pivotArea dataOnly="0" labelOnly="1" grandRow="1" outline="0" fieldPosition="0"/>
    </format>
    <format dxfId="18">
      <pivotArea dataOnly="0" labelOnly="1" fieldPosition="0">
        <references count="1">
          <reference field="1" count="0"/>
        </references>
      </pivotArea>
    </format>
    <format dxfId="17">
      <pivotArea dataOnly="0" labelOnly="1" grandCol="1" outline="0" fieldPosition="0"/>
    </format>
  </formats>
  <chartFormats count="30"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12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36"/>
          </reference>
        </references>
      </pivotArea>
    </chartFormat>
    <chartFormat chart="2" format="13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36"/>
          </reference>
        </references>
      </pivotArea>
    </chartFormat>
    <chartFormat chart="2" format="14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36"/>
          </reference>
        </references>
      </pivotArea>
    </chartFormat>
    <chartFormat chart="2" format="15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61"/>
          </reference>
        </references>
      </pivotArea>
    </chartFormat>
    <chartFormat chart="2" format="16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61"/>
          </reference>
        </references>
      </pivotArea>
    </chartFormat>
    <chartFormat chart="2" format="17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63"/>
          </reference>
        </references>
      </pivotArea>
    </chartFormat>
    <chartFormat chart="2" format="18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63"/>
          </reference>
        </references>
      </pivotArea>
    </chartFormat>
    <chartFormat chart="2" format="19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63"/>
          </reference>
        </references>
      </pivotArea>
    </chartFormat>
    <chartFormat chart="2" format="20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34"/>
          </reference>
        </references>
      </pivotArea>
    </chartFormat>
    <chartFormat chart="2" format="2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34"/>
          </reference>
        </references>
      </pivotArea>
    </chartFormat>
    <chartFormat chart="2" format="22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34"/>
          </reference>
        </references>
      </pivotArea>
    </chartFormat>
    <chartFormat chart="2" format="23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34"/>
          </reference>
        </references>
      </pivotArea>
    </chartFormat>
    <chartFormat chart="2" format="24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26"/>
          </reference>
        </references>
      </pivotArea>
    </chartFormat>
    <chartFormat chart="2" format="25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26"/>
          </reference>
        </references>
      </pivotArea>
    </chartFormat>
    <chartFormat chart="2" format="26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23"/>
          </reference>
        </references>
      </pivotArea>
    </chartFormat>
    <chartFormat chart="2" format="27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23"/>
          </reference>
        </references>
      </pivotArea>
    </chartFormat>
    <chartFormat chart="2" format="28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23"/>
          </reference>
        </references>
      </pivotArea>
    </chartFormat>
    <chartFormat chart="2" format="29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23"/>
          </reference>
        </references>
      </pivotArea>
    </chartFormat>
    <chartFormat chart="2" format="30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20"/>
          </reference>
        </references>
      </pivotArea>
    </chartFormat>
    <chartFormat chart="2" format="3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20"/>
          </reference>
        </references>
      </pivotArea>
    </chartFormat>
    <chartFormat chart="2" format="32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20"/>
          </reference>
        </references>
      </pivotArea>
    </chartFormat>
    <chartFormat chart="2" format="33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74"/>
          </reference>
        </references>
      </pivotArea>
    </chartFormat>
    <chartFormat chart="2" format="34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86"/>
          </reference>
        </references>
      </pivotArea>
    </chartFormat>
    <chartFormat chart="2" format="35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86"/>
          </reference>
        </references>
      </pivotArea>
    </chartFormat>
    <chartFormat chart="2" format="36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86"/>
          </reference>
        </references>
      </pivotArea>
    </chartFormat>
    <chartFormat chart="2" format="37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86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14D6C5-8DC1-4E49-ADA9-32F26247DB7B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2:F44" firstHeaderRow="1" firstDataRow="2" firstDataCol="1"/>
  <pivotFields count="7">
    <pivotField showAll="0">
      <items count="10">
        <item x="8"/>
        <item x="4"/>
        <item x="1"/>
        <item x="5"/>
        <item x="6"/>
        <item x="3"/>
        <item x="0"/>
        <item x="2"/>
        <item x="7"/>
        <item t="default"/>
      </items>
    </pivotField>
    <pivotField axis="axisCol" showAll="0">
      <items count="5">
        <item x="3"/>
        <item x="2"/>
        <item x="1"/>
        <item x="0"/>
        <item t="default"/>
      </items>
    </pivotField>
    <pivotField axis="axisRow" showAll="0" measureFilter="1">
      <items count="90">
        <item x="67"/>
        <item x="0"/>
        <item x="1"/>
        <item x="2"/>
        <item x="4"/>
        <item x="68"/>
        <item x="5"/>
        <item x="8"/>
        <item x="6"/>
        <item x="7"/>
        <item x="3"/>
        <item x="69"/>
        <item x="9"/>
        <item x="10"/>
        <item x="11"/>
        <item x="70"/>
        <item x="12"/>
        <item x="13"/>
        <item x="14"/>
        <item x="15"/>
        <item x="16"/>
        <item x="17"/>
        <item x="71"/>
        <item x="18"/>
        <item x="72"/>
        <item x="73"/>
        <item x="19"/>
        <item x="20"/>
        <item x="22"/>
        <item x="23"/>
        <item x="74"/>
        <item x="75"/>
        <item x="21"/>
        <item x="25"/>
        <item x="24"/>
        <item x="26"/>
        <item x="27"/>
        <item x="28"/>
        <item x="29"/>
        <item x="88"/>
        <item x="31"/>
        <item x="77"/>
        <item x="78"/>
        <item x="32"/>
        <item x="79"/>
        <item x="30"/>
        <item x="76"/>
        <item x="33"/>
        <item x="34"/>
        <item x="80"/>
        <item x="36"/>
        <item x="35"/>
        <item x="81"/>
        <item x="82"/>
        <item x="37"/>
        <item x="38"/>
        <item x="39"/>
        <item x="40"/>
        <item x="41"/>
        <item x="43"/>
        <item x="44"/>
        <item x="42"/>
        <item x="83"/>
        <item x="45"/>
        <item x="46"/>
        <item x="47"/>
        <item x="48"/>
        <item x="49"/>
        <item x="50"/>
        <item x="51"/>
        <item x="52"/>
        <item x="53"/>
        <item x="84"/>
        <item x="54"/>
        <item x="55"/>
        <item x="56"/>
        <item x="85"/>
        <item x="57"/>
        <item x="58"/>
        <item x="59"/>
        <item x="86"/>
        <item x="60"/>
        <item x="61"/>
        <item x="62"/>
        <item x="63"/>
        <item x="64"/>
        <item x="65"/>
        <item x="87"/>
        <item x="66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dataField="1" showAll="0"/>
  </pivotFields>
  <rowFields count="1">
    <field x="2"/>
  </rowFields>
  <rowItems count="11">
    <i>
      <x v="20"/>
    </i>
    <i>
      <x v="23"/>
    </i>
    <i>
      <x v="33"/>
    </i>
    <i>
      <x v="36"/>
    </i>
    <i>
      <x v="38"/>
    </i>
    <i>
      <x v="50"/>
    </i>
    <i>
      <x v="61"/>
    </i>
    <i>
      <x v="63"/>
    </i>
    <i>
      <x v="69"/>
    </i>
    <i>
      <x v="86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Total Sales" fld="6" baseField="0" baseItem="0" numFmtId="44"/>
  </dataFields>
  <formats count="11">
    <format dxfId="37">
      <pivotArea type="all" dataOnly="0" outline="0" fieldPosition="0"/>
    </format>
    <format dxfId="36">
      <pivotArea outline="0" collapsedLevelsAreSubtotals="1" fieldPosition="0"/>
    </format>
    <format dxfId="35">
      <pivotArea type="origin" dataOnly="0" labelOnly="1" outline="0" fieldPosition="0"/>
    </format>
    <format dxfId="34">
      <pivotArea field="1" type="button" dataOnly="0" labelOnly="1" outline="0" axis="axisCol" fieldPosition="0"/>
    </format>
    <format dxfId="33">
      <pivotArea type="topRight" dataOnly="0" labelOnly="1" outline="0" fieldPosition="0"/>
    </format>
    <format dxfId="32">
      <pivotArea field="2" type="button" dataOnly="0" labelOnly="1" outline="0" axis="axisRow" fieldPosition="0"/>
    </format>
    <format dxfId="31">
      <pivotArea dataOnly="0" labelOnly="1" fieldPosition="0">
        <references count="1">
          <reference field="2" count="10">
            <x v="20"/>
            <x v="23"/>
            <x v="33"/>
            <x v="36"/>
            <x v="38"/>
            <x v="50"/>
            <x v="61"/>
            <x v="63"/>
            <x v="69"/>
            <x v="86"/>
          </reference>
        </references>
      </pivotArea>
    </format>
    <format dxfId="30">
      <pivotArea dataOnly="0" labelOnly="1" grandRow="1" outline="0" fieldPosition="0"/>
    </format>
    <format dxfId="29">
      <pivotArea dataOnly="0" labelOnly="1" fieldPosition="0">
        <references count="1">
          <reference field="1" count="0"/>
        </references>
      </pivotArea>
    </format>
    <format dxfId="28">
      <pivotArea dataOnly="0" labelOnly="1" grandCol="1" outline="0" fieldPosition="0"/>
    </format>
    <format dxfId="27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561E60-BE58-40F1-B4BC-17397CD12449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6:E27" firstHeaderRow="1" firstDataRow="2" firstDataCol="1"/>
  <pivotFields count="7">
    <pivotField axis="axisRow" showAll="0">
      <items count="10">
        <item x="8"/>
        <item x="4"/>
        <item x="1"/>
        <item x="5"/>
        <item x="6"/>
        <item x="3"/>
        <item x="0"/>
        <item x="2"/>
        <item x="7"/>
        <item t="default"/>
      </items>
    </pivotField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dataField="1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Sum of Total Sales" fld="6" baseField="0" baseItem="0" numFmtId="44"/>
  </dataFields>
  <formats count="11">
    <format dxfId="48">
      <pivotArea type="all" dataOnly="0" outline="0" fieldPosition="0"/>
    </format>
    <format dxfId="47">
      <pivotArea outline="0" collapsedLevelsAreSubtotals="1" fieldPosition="0"/>
    </format>
    <format dxfId="46">
      <pivotArea type="origin" dataOnly="0" labelOnly="1" outline="0" fieldPosition="0"/>
    </format>
    <format dxfId="45">
      <pivotArea field="3" type="button" dataOnly="0" labelOnly="1" outline="0" axis="axisCol" fieldPosition="0"/>
    </format>
    <format dxfId="44">
      <pivotArea type="topRight" dataOnly="0" labelOnly="1" outline="0" fieldPosition="0"/>
    </format>
    <format dxfId="43">
      <pivotArea field="0" type="button" dataOnly="0" labelOnly="1" outline="0" axis="axisRow" fieldPosition="0"/>
    </format>
    <format dxfId="42">
      <pivotArea dataOnly="0" labelOnly="1" fieldPosition="0">
        <references count="1">
          <reference field="0" count="0"/>
        </references>
      </pivotArea>
    </format>
    <format dxfId="41">
      <pivotArea dataOnly="0" labelOnly="1" grandRow="1" outline="0" fieldPosition="0"/>
    </format>
    <format dxfId="40">
      <pivotArea dataOnly="0" labelOnly="1" fieldPosition="0">
        <references count="1">
          <reference field="3" count="0"/>
        </references>
      </pivotArea>
    </format>
    <format dxfId="39">
      <pivotArea dataOnly="0" labelOnly="1" grandCol="1" outline="0" fieldPosition="0"/>
    </format>
    <format dxfId="3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AA4200-395E-4D14-AD9F-DAF68B64B24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2:B12" firstHeaderRow="1" firstDataRow="1" firstDataCol="1"/>
  <pivotFields count="7">
    <pivotField axis="axisRow" showAll="0" sortType="ascending">
      <items count="10">
        <item x="8"/>
        <item x="4"/>
        <item x="1"/>
        <item x="5"/>
        <item x="6"/>
        <item x="3"/>
        <item x="0"/>
        <item x="2"/>
        <item x="7"/>
        <item t="default"/>
      </items>
    </pivotField>
    <pivotField showAll="0"/>
    <pivotField showAll="0">
      <items count="90">
        <item x="67"/>
        <item x="0"/>
        <item x="1"/>
        <item x="2"/>
        <item x="4"/>
        <item x="68"/>
        <item x="5"/>
        <item x="8"/>
        <item x="6"/>
        <item x="7"/>
        <item x="3"/>
        <item x="69"/>
        <item x="9"/>
        <item x="10"/>
        <item x="11"/>
        <item x="70"/>
        <item x="12"/>
        <item x="13"/>
        <item x="14"/>
        <item x="15"/>
        <item x="16"/>
        <item x="17"/>
        <item x="71"/>
        <item x="18"/>
        <item x="72"/>
        <item x="73"/>
        <item x="19"/>
        <item x="20"/>
        <item x="22"/>
        <item x="23"/>
        <item x="74"/>
        <item x="75"/>
        <item x="21"/>
        <item x="25"/>
        <item x="24"/>
        <item x="26"/>
        <item x="27"/>
        <item x="28"/>
        <item x="29"/>
        <item x="88"/>
        <item x="31"/>
        <item x="77"/>
        <item x="78"/>
        <item x="32"/>
        <item x="79"/>
        <item x="30"/>
        <item x="76"/>
        <item x="33"/>
        <item x="34"/>
        <item x="80"/>
        <item x="36"/>
        <item x="35"/>
        <item x="81"/>
        <item x="82"/>
        <item x="37"/>
        <item x="38"/>
        <item x="39"/>
        <item x="40"/>
        <item x="41"/>
        <item x="43"/>
        <item x="44"/>
        <item x="42"/>
        <item x="83"/>
        <item x="45"/>
        <item x="46"/>
        <item x="47"/>
        <item x="48"/>
        <item x="49"/>
        <item x="50"/>
        <item x="51"/>
        <item x="52"/>
        <item x="53"/>
        <item x="84"/>
        <item x="54"/>
        <item x="55"/>
        <item x="56"/>
        <item x="85"/>
        <item x="57"/>
        <item x="58"/>
        <item x="59"/>
        <item x="86"/>
        <item x="60"/>
        <item x="61"/>
        <item x="62"/>
        <item x="63"/>
        <item x="64"/>
        <item x="65"/>
        <item x="87"/>
        <item x="66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13">
        <item x="11"/>
        <item x="9"/>
        <item x="10"/>
        <item x="6"/>
        <item x="8"/>
        <item x="7"/>
        <item x="4"/>
        <item x="3"/>
        <item x="0"/>
        <item x="5"/>
        <item x="1"/>
        <item x="2"/>
        <item t="default"/>
      </items>
    </pivotField>
    <pivotField showAll="0"/>
    <pivotField dataField="1" showAll="0">
      <items count="787">
        <item x="200"/>
        <item x="252"/>
        <item x="440"/>
        <item x="482"/>
        <item x="678"/>
        <item x="771"/>
        <item x="662"/>
        <item x="670"/>
        <item x="741"/>
        <item x="313"/>
        <item x="119"/>
        <item x="504"/>
        <item x="250"/>
        <item x="481"/>
        <item x="357"/>
        <item x="332"/>
        <item x="339"/>
        <item x="610"/>
        <item x="613"/>
        <item x="214"/>
        <item x="755"/>
        <item x="612"/>
        <item x="280"/>
        <item x="68"/>
        <item x="706"/>
        <item x="105"/>
        <item x="24"/>
        <item x="578"/>
        <item x="251"/>
        <item x="11"/>
        <item x="0"/>
        <item x="249"/>
        <item x="170"/>
        <item x="668"/>
        <item x="16"/>
        <item x="299"/>
        <item x="36"/>
        <item x="574"/>
        <item x="748"/>
        <item x="380"/>
        <item x="66"/>
        <item x="366"/>
        <item x="533"/>
        <item x="138"/>
        <item x="648"/>
        <item x="356"/>
        <item x="619"/>
        <item x="45"/>
        <item x="42"/>
        <item x="177"/>
        <item x="611"/>
        <item x="167"/>
        <item x="773"/>
        <item x="121"/>
        <item x="523"/>
        <item x="58"/>
        <item x="135"/>
        <item x="342"/>
        <item x="369"/>
        <item x="178"/>
        <item x="569"/>
        <item x="439"/>
        <item x="268"/>
        <item x="208"/>
        <item x="767"/>
        <item x="785"/>
        <item x="62"/>
        <item x="35"/>
        <item x="244"/>
        <item x="487"/>
        <item x="292"/>
        <item x="95"/>
        <item x="663"/>
        <item x="645"/>
        <item x="497"/>
        <item x="436"/>
        <item x="451"/>
        <item x="341"/>
        <item x="652"/>
        <item x="206"/>
        <item x="544"/>
        <item x="275"/>
        <item x="234"/>
        <item x="201"/>
        <item x="161"/>
        <item x="488"/>
        <item x="311"/>
        <item x="265"/>
        <item x="744"/>
        <item x="360"/>
        <item x="297"/>
        <item x="763"/>
        <item x="387"/>
        <item x="490"/>
        <item x="59"/>
        <item x="109"/>
        <item x="654"/>
        <item x="677"/>
        <item x="492"/>
        <item x="596"/>
        <item x="602"/>
        <item x="378"/>
        <item x="262"/>
        <item x="626"/>
        <item x="605"/>
        <item x="26"/>
        <item x="769"/>
        <item x="618"/>
        <item x="340"/>
        <item x="540"/>
        <item x="88"/>
        <item x="232"/>
        <item x="74"/>
        <item x="658"/>
        <item x="77"/>
        <item x="674"/>
        <item x="337"/>
        <item x="688"/>
        <item x="568"/>
        <item x="235"/>
        <item x="417"/>
        <item x="353"/>
        <item x="157"/>
        <item x="381"/>
        <item x="150"/>
        <item x="247"/>
        <item x="756"/>
        <item x="621"/>
        <item x="180"/>
        <item x="338"/>
        <item x="126"/>
        <item x="779"/>
        <item x="52"/>
        <item x="267"/>
        <item x="772"/>
        <item x="223"/>
        <item x="142"/>
        <item x="106"/>
        <item x="71"/>
        <item x="379"/>
        <item x="118"/>
        <item x="286"/>
        <item x="165"/>
        <item x="187"/>
        <item x="728"/>
        <item x="20"/>
        <item x="727"/>
        <item x="665"/>
        <item x="444"/>
        <item x="154"/>
        <item x="284"/>
        <item x="164"/>
        <item x="266"/>
        <item x="543"/>
        <item x="279"/>
        <item x="211"/>
        <item x="81"/>
        <item x="534"/>
        <item x="330"/>
        <item x="1"/>
        <item x="575"/>
        <item x="715"/>
        <item x="159"/>
        <item x="532"/>
        <item x="317"/>
        <item x="354"/>
        <item x="130"/>
        <item x="75"/>
        <item x="509"/>
        <item x="782"/>
        <item x="69"/>
        <item x="745"/>
        <item x="396"/>
        <item x="508"/>
        <item x="139"/>
        <item x="51"/>
        <item x="429"/>
        <item x="315"/>
        <item x="25"/>
        <item x="97"/>
        <item x="183"/>
        <item x="778"/>
        <item x="491"/>
        <item x="620"/>
        <item x="725"/>
        <item x="146"/>
        <item x="179"/>
        <item x="345"/>
        <item x="316"/>
        <item x="510"/>
        <item x="536"/>
        <item x="171"/>
        <item x="661"/>
        <item x="630"/>
        <item x="163"/>
        <item x="4"/>
        <item x="149"/>
        <item x="300"/>
        <item x="3"/>
        <item x="192"/>
        <item x="647"/>
        <item x="479"/>
        <item x="437"/>
        <item x="541"/>
        <item x="162"/>
        <item x="96"/>
        <item x="723"/>
        <item x="110"/>
        <item x="452"/>
        <item x="431"/>
        <item x="539"/>
        <item x="350"/>
        <item x="60"/>
        <item x="441"/>
        <item x="143"/>
        <item x="604"/>
        <item x="182"/>
        <item x="335"/>
        <item x="566"/>
        <item x="233"/>
        <item x="495"/>
        <item x="351"/>
        <item x="702"/>
        <item x="137"/>
        <item x="681"/>
        <item x="758"/>
        <item x="418"/>
        <item x="228"/>
        <item x="17"/>
        <item x="321"/>
        <item x="401"/>
        <item x="445"/>
        <item x="695"/>
        <item x="308"/>
        <item x="384"/>
        <item x="85"/>
        <item x="499"/>
        <item x="477"/>
        <item x="291"/>
        <item x="666"/>
        <item x="103"/>
        <item x="781"/>
        <item x="209"/>
        <item x="783"/>
        <item x="184"/>
        <item x="423"/>
        <item x="172"/>
        <item x="722"/>
        <item x="278"/>
        <item x="617"/>
        <item x="76"/>
        <item x="334"/>
        <item x="780"/>
        <item x="6"/>
        <item x="240"/>
        <item x="616"/>
        <item x="770"/>
        <item x="729"/>
        <item x="552"/>
        <item x="213"/>
        <item x="766"/>
        <item x="518"/>
        <item x="207"/>
        <item x="687"/>
        <item x="419"/>
        <item x="672"/>
        <item x="375"/>
        <item x="377"/>
        <item x="531"/>
        <item x="70"/>
        <item x="145"/>
        <item x="570"/>
        <item x="716"/>
        <item x="659"/>
        <item x="394"/>
        <item x="136"/>
        <item x="215"/>
        <item x="186"/>
        <item x="717"/>
        <item x="529"/>
        <item x="730"/>
        <item x="553"/>
        <item x="746"/>
        <item x="270"/>
        <item x="784"/>
        <item x="707"/>
        <item x="123"/>
        <item x="38"/>
        <item x="478"/>
        <item x="428"/>
        <item x="210"/>
        <item x="548"/>
        <item x="622"/>
        <item x="546"/>
        <item x="484"/>
        <item x="89"/>
        <item x="562"/>
        <item x="318"/>
        <item x="399"/>
        <item x="325"/>
        <item x="736"/>
        <item x="276"/>
        <item x="555"/>
        <item x="407"/>
        <item x="750"/>
        <item x="690"/>
        <item x="502"/>
        <item x="633"/>
        <item x="660"/>
        <item x="152"/>
        <item x="676"/>
        <item x="23"/>
        <item x="237"/>
        <item x="314"/>
        <item x="500"/>
        <item x="704"/>
        <item x="679"/>
        <item x="559"/>
        <item x="216"/>
        <item x="726"/>
        <item x="194"/>
        <item x="329"/>
        <item x="420"/>
        <item x="535"/>
        <item x="599"/>
        <item x="506"/>
        <item x="151"/>
        <item x="34"/>
        <item x="148"/>
        <item x="392"/>
        <item x="582"/>
        <item x="191"/>
        <item x="107"/>
        <item x="760"/>
        <item x="671"/>
        <item x="133"/>
        <item x="474"/>
        <item x="496"/>
        <item x="560"/>
        <item x="352"/>
        <item x="537"/>
        <item x="682"/>
        <item x="128"/>
        <item x="197"/>
        <item x="400"/>
        <item x="651"/>
        <item x="554"/>
        <item x="581"/>
        <item x="294"/>
        <item x="98"/>
        <item x="600"/>
        <item x="117"/>
        <item x="241"/>
        <item x="563"/>
        <item x="288"/>
        <item x="422"/>
        <item x="434"/>
        <item x="738"/>
        <item x="2"/>
        <item x="320"/>
        <item x="709"/>
        <item x="685"/>
        <item x="757"/>
        <item x="205"/>
        <item x="446"/>
        <item x="556"/>
        <item x="248"/>
        <item x="640"/>
        <item x="410"/>
        <item x="776"/>
        <item x="576"/>
        <item x="708"/>
        <item x="634"/>
        <item x="538"/>
        <item x="82"/>
        <item x="765"/>
        <item x="362"/>
        <item x="27"/>
        <item x="131"/>
        <item x="530"/>
        <item x="442"/>
        <item x="198"/>
        <item x="643"/>
        <item x="759"/>
        <item x="515"/>
        <item x="15"/>
        <item x="526"/>
        <item x="304"/>
        <item x="391"/>
        <item x="271"/>
        <item x="567"/>
        <item x="606"/>
        <item x="579"/>
        <item x="473"/>
        <item x="63"/>
        <item x="657"/>
        <item x="516"/>
        <item x="111"/>
        <item x="493"/>
        <item x="547"/>
        <item x="258"/>
        <item x="374"/>
        <item x="609"/>
        <item x="312"/>
        <item x="260"/>
        <item x="550"/>
        <item x="571"/>
        <item x="373"/>
        <item x="44"/>
        <item x="22"/>
        <item x="753"/>
        <item x="18"/>
        <item x="46"/>
        <item x="47"/>
        <item x="274"/>
        <item x="656"/>
        <item x="498"/>
        <item x="714"/>
        <item x="514"/>
        <item x="343"/>
        <item x="67"/>
        <item x="43"/>
        <item x="73"/>
        <item x="608"/>
        <item x="9"/>
        <item x="528"/>
        <item x="463"/>
        <item x="129"/>
        <item x="520"/>
        <item x="390"/>
        <item x="416"/>
        <item x="689"/>
        <item x="686"/>
        <item x="78"/>
        <item x="168"/>
        <item x="147"/>
        <item x="752"/>
        <item x="424"/>
        <item x="116"/>
        <item x="305"/>
        <item x="435"/>
        <item x="393"/>
        <item x="710"/>
        <item x="370"/>
        <item x="383"/>
        <item x="253"/>
        <item x="290"/>
        <item x="572"/>
        <item x="277"/>
        <item x="264"/>
        <item x="355"/>
        <item x="132"/>
        <item x="421"/>
        <item x="675"/>
        <item x="565"/>
        <item x="57"/>
        <item x="359"/>
        <item x="166"/>
        <item x="631"/>
        <item x="365"/>
        <item x="257"/>
        <item x="638"/>
        <item x="701"/>
        <item x="53"/>
        <item x="522"/>
        <item x="627"/>
        <item x="140"/>
        <item x="667"/>
        <item x="349"/>
        <item x="524"/>
        <item x="141"/>
        <item x="489"/>
        <item x="628"/>
        <item x="282"/>
        <item x="398"/>
        <item x="593"/>
        <item x="684"/>
        <item x="324"/>
        <item x="65"/>
        <item x="525"/>
        <item x="10"/>
        <item x="256"/>
        <item x="761"/>
        <item x="364"/>
        <item x="87"/>
        <item x="301"/>
        <item x="293"/>
        <item x="49"/>
        <item x="309"/>
        <item x="564"/>
        <item x="100"/>
        <item x="173"/>
        <item x="471"/>
        <item x="443"/>
        <item x="466"/>
        <item x="577"/>
        <item x="361"/>
        <item x="5"/>
        <item x="61"/>
        <item x="273"/>
        <item x="597"/>
        <item x="545"/>
        <item x="175"/>
        <item x="404"/>
        <item x="176"/>
        <item x="323"/>
        <item x="84"/>
        <item x="483"/>
        <item x="259"/>
        <item x="408"/>
        <item x="426"/>
        <item x="295"/>
        <item x="224"/>
        <item x="326"/>
        <item x="698"/>
        <item x="512"/>
        <item x="13"/>
        <item x="50"/>
        <item x="322"/>
        <item x="457"/>
        <item x="669"/>
        <item x="327"/>
        <item x="72"/>
        <item x="517"/>
        <item x="358"/>
        <item x="263"/>
        <item x="21"/>
        <item x="32"/>
        <item x="101"/>
        <item x="239"/>
        <item x="438"/>
        <item x="664"/>
        <item x="743"/>
        <item x="460"/>
        <item x="158"/>
        <item x="344"/>
        <item x="64"/>
        <item x="511"/>
        <item x="655"/>
        <item x="156"/>
        <item x="261"/>
        <item x="501"/>
        <item x="29"/>
        <item x="580"/>
        <item x="718"/>
        <item x="298"/>
        <item x="521"/>
        <item x="624"/>
        <item x="386"/>
        <item x="603"/>
        <item x="94"/>
        <item x="749"/>
        <item x="385"/>
        <item x="185"/>
        <item x="56"/>
        <item x="625"/>
        <item x="639"/>
        <item x="134"/>
        <item x="389"/>
        <item x="573"/>
        <item x="231"/>
        <item x="80"/>
        <item x="768"/>
        <item x="226"/>
        <item x="469"/>
        <item x="740"/>
        <item x="37"/>
        <item x="742"/>
        <item x="405"/>
        <item x="190"/>
        <item x="447"/>
        <item x="255"/>
        <item x="427"/>
        <item x="14"/>
        <item x="551"/>
        <item x="719"/>
        <item x="328"/>
        <item x="127"/>
        <item x="28"/>
        <item x="646"/>
        <item x="102"/>
        <item x="202"/>
        <item x="196"/>
        <item x="382"/>
        <item x="39"/>
        <item x="397"/>
        <item x="705"/>
        <item x="774"/>
        <item x="193"/>
        <item x="650"/>
        <item x="155"/>
        <item x="212"/>
        <item x="296"/>
        <item x="188"/>
        <item x="720"/>
        <item x="585"/>
        <item x="762"/>
        <item x="558"/>
        <item x="480"/>
        <item x="347"/>
        <item x="467"/>
        <item x="636"/>
        <item x="703"/>
        <item x="55"/>
        <item x="90"/>
        <item x="91"/>
        <item x="549"/>
        <item x="303"/>
        <item x="747"/>
        <item x="285"/>
        <item x="153"/>
        <item x="673"/>
        <item x="31"/>
        <item x="448"/>
        <item x="48"/>
        <item x="333"/>
        <item x="160"/>
        <item x="367"/>
        <item x="557"/>
        <item x="222"/>
        <item x="642"/>
        <item x="19"/>
        <item x="456"/>
        <item x="680"/>
        <item x="246"/>
        <item x="7"/>
        <item x="683"/>
        <item x="519"/>
        <item x="751"/>
        <item x="472"/>
        <item x="287"/>
        <item x="221"/>
        <item x="696"/>
        <item x="144"/>
        <item x="254"/>
        <item x="601"/>
        <item x="388"/>
        <item x="203"/>
        <item x="204"/>
        <item x="346"/>
        <item x="283"/>
        <item x="614"/>
        <item x="615"/>
        <item x="302"/>
        <item x="433"/>
        <item x="120"/>
        <item x="734"/>
        <item x="12"/>
        <item x="470"/>
        <item x="376"/>
        <item x="108"/>
        <item x="113"/>
        <item x="505"/>
        <item x="310"/>
        <item x="527"/>
        <item x="245"/>
        <item x="189"/>
        <item x="114"/>
        <item x="721"/>
        <item x="336"/>
        <item x="692"/>
        <item x="54"/>
        <item x="731"/>
        <item x="371"/>
        <item x="124"/>
        <item x="225"/>
        <item x="331"/>
        <item x="697"/>
        <item x="737"/>
        <item x="425"/>
        <item x="598"/>
        <item x="584"/>
        <item x="486"/>
        <item x="269"/>
        <item x="507"/>
        <item x="607"/>
        <item x="649"/>
        <item x="458"/>
        <item x="243"/>
        <item x="306"/>
        <item x="30"/>
        <item x="363"/>
        <item x="92"/>
        <item x="475"/>
        <item x="453"/>
        <item x="591"/>
        <item x="713"/>
        <item x="93"/>
        <item x="199"/>
        <item x="691"/>
        <item x="217"/>
        <item x="513"/>
        <item x="455"/>
        <item x="653"/>
        <item x="195"/>
        <item x="415"/>
        <item x="632"/>
        <item x="503"/>
        <item x="289"/>
        <item x="169"/>
        <item x="724"/>
        <item x="449"/>
        <item x="764"/>
        <item x="79"/>
        <item x="272"/>
        <item x="219"/>
        <item x="319"/>
        <item x="115"/>
        <item x="775"/>
        <item x="40"/>
        <item x="402"/>
        <item x="711"/>
        <item x="693"/>
        <item x="125"/>
        <item x="348"/>
        <item x="236"/>
        <item x="583"/>
        <item x="83"/>
        <item x="700"/>
        <item x="174"/>
        <item x="181"/>
        <item x="414"/>
        <item x="430"/>
        <item x="485"/>
        <item x="735"/>
        <item x="372"/>
        <item x="494"/>
        <item x="395"/>
        <item x="589"/>
        <item x="41"/>
        <item x="733"/>
        <item x="242"/>
        <item x="462"/>
        <item x="542"/>
        <item x="413"/>
        <item x="409"/>
        <item x="122"/>
        <item x="754"/>
        <item x="450"/>
        <item x="586"/>
        <item x="587"/>
        <item x="454"/>
        <item x="218"/>
        <item x="281"/>
        <item x="594"/>
        <item x="411"/>
        <item x="595"/>
        <item x="468"/>
        <item x="104"/>
        <item x="739"/>
        <item x="307"/>
        <item x="238"/>
        <item x="588"/>
        <item x="461"/>
        <item x="112"/>
        <item x="33"/>
        <item x="561"/>
        <item x="644"/>
        <item x="230"/>
        <item x="220"/>
        <item x="637"/>
        <item x="694"/>
        <item x="464"/>
        <item x="590"/>
        <item x="465"/>
        <item x="459"/>
        <item x="592"/>
        <item x="8"/>
        <item x="623"/>
        <item x="86"/>
        <item x="227"/>
        <item x="229"/>
        <item x="777"/>
        <item x="368"/>
        <item x="99"/>
        <item x="406"/>
        <item x="412"/>
        <item x="403"/>
        <item x="432"/>
        <item x="635"/>
        <item x="641"/>
        <item x="476"/>
        <item x="712"/>
        <item x="732"/>
        <item x="629"/>
        <item x="699"/>
        <item t="default"/>
      </items>
    </pivotField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Total Sales" fld="6" baseField="0" baseItem="0" numFmtId="164"/>
  </dataFields>
  <formats count="6">
    <format dxfId="54">
      <pivotArea type="all" dataOnly="0" outline="0" fieldPosition="0"/>
    </format>
    <format dxfId="53">
      <pivotArea outline="0" collapsedLevelsAreSubtotals="1" fieldPosition="0"/>
    </format>
    <format dxfId="52">
      <pivotArea field="0" type="button" dataOnly="0" labelOnly="1" outline="0" axis="axisRow" fieldPosition="0"/>
    </format>
    <format dxfId="51">
      <pivotArea dataOnly="0" labelOnly="1" fieldPosition="0">
        <references count="1">
          <reference field="0" count="0"/>
        </references>
      </pivotArea>
    </format>
    <format dxfId="50">
      <pivotArea dataOnly="0" labelOnly="1" grandRow="1" outline="0" fieldPosition="0"/>
    </format>
    <format dxfId="49">
      <pivotArea dataOnly="0" labelOnly="1" outline="0" axis="axisValues" fieldPosition="0"/>
    </format>
  </formats>
  <chartFormats count="3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051856-DD3F-476A-9BDB-96481F8E0C81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L2:M13" firstHeaderRow="1" firstDataRow="1" firstDataCol="1"/>
  <pivotFields count="7">
    <pivotField showAll="0">
      <items count="10">
        <item x="8"/>
        <item x="4"/>
        <item x="1"/>
        <item x="5"/>
        <item x="6"/>
        <item x="3"/>
        <item x="0"/>
        <item x="2"/>
        <item x="7"/>
        <item t="default"/>
      </items>
    </pivotField>
    <pivotField showAll="0"/>
    <pivotField axis="axisRow" showAll="0" measureFilter="1">
      <items count="90">
        <item x="67"/>
        <item x="0"/>
        <item x="1"/>
        <item x="2"/>
        <item x="4"/>
        <item x="68"/>
        <item x="5"/>
        <item x="8"/>
        <item x="6"/>
        <item x="7"/>
        <item x="3"/>
        <item x="69"/>
        <item x="9"/>
        <item x="10"/>
        <item x="11"/>
        <item x="70"/>
        <item x="12"/>
        <item x="13"/>
        <item x="14"/>
        <item x="15"/>
        <item x="16"/>
        <item x="17"/>
        <item x="71"/>
        <item x="18"/>
        <item x="72"/>
        <item x="73"/>
        <item x="19"/>
        <item x="20"/>
        <item x="22"/>
        <item x="23"/>
        <item x="74"/>
        <item x="75"/>
        <item x="21"/>
        <item x="25"/>
        <item x="24"/>
        <item x="26"/>
        <item x="27"/>
        <item x="28"/>
        <item x="29"/>
        <item x="88"/>
        <item x="31"/>
        <item x="77"/>
        <item x="78"/>
        <item x="32"/>
        <item x="79"/>
        <item x="30"/>
        <item x="76"/>
        <item x="33"/>
        <item x="34"/>
        <item x="80"/>
        <item x="36"/>
        <item x="35"/>
        <item x="81"/>
        <item x="82"/>
        <item x="37"/>
        <item x="38"/>
        <item x="39"/>
        <item x="40"/>
        <item x="41"/>
        <item x="43"/>
        <item x="44"/>
        <item x="42"/>
        <item x="83"/>
        <item x="45"/>
        <item x="46"/>
        <item x="47"/>
        <item x="48"/>
        <item x="49"/>
        <item x="50"/>
        <item x="51"/>
        <item x="52"/>
        <item x="53"/>
        <item x="84"/>
        <item x="54"/>
        <item x="55"/>
        <item x="56"/>
        <item x="85"/>
        <item x="57"/>
        <item x="58"/>
        <item x="59"/>
        <item x="86"/>
        <item x="60"/>
        <item x="61"/>
        <item x="62"/>
        <item x="63"/>
        <item x="64"/>
        <item x="65"/>
        <item x="87"/>
        <item x="66"/>
        <item t="default"/>
      </items>
    </pivotField>
    <pivotField showAll="0"/>
    <pivotField showAll="0"/>
    <pivotField dataField="1" showAll="0"/>
    <pivotField showAll="0"/>
  </pivotFields>
  <rowFields count="1">
    <field x="2"/>
  </rowFields>
  <rowItems count="11">
    <i>
      <x v="20"/>
    </i>
    <i>
      <x v="23"/>
    </i>
    <i>
      <x v="26"/>
    </i>
    <i>
      <x v="34"/>
    </i>
    <i>
      <x v="36"/>
    </i>
    <i>
      <x v="61"/>
    </i>
    <i>
      <x v="63"/>
    </i>
    <i>
      <x v="69"/>
    </i>
    <i>
      <x v="74"/>
    </i>
    <i>
      <x v="86"/>
    </i>
    <i t="grand">
      <x/>
    </i>
  </rowItems>
  <colItems count="1">
    <i/>
  </colItems>
  <dataFields count="1">
    <dataField name="Sum of Total Quantity" fld="5" baseField="0" baseItem="0"/>
  </dataFields>
  <formats count="6">
    <format dxfId="60">
      <pivotArea type="all" dataOnly="0" outline="0" fieldPosition="0"/>
    </format>
    <format dxfId="59">
      <pivotArea outline="0" collapsedLevelsAreSubtotals="1" fieldPosition="0"/>
    </format>
    <format dxfId="58">
      <pivotArea field="2" type="button" dataOnly="0" labelOnly="1" outline="0" axis="axisRow" fieldPosition="0"/>
    </format>
    <format dxfId="57">
      <pivotArea dataOnly="0" labelOnly="1" fieldPosition="0">
        <references count="1">
          <reference field="2" count="10">
            <x v="20"/>
            <x v="23"/>
            <x v="26"/>
            <x v="34"/>
            <x v="36"/>
            <x v="61"/>
            <x v="63"/>
            <x v="69"/>
            <x v="74"/>
            <x v="86"/>
          </reference>
        </references>
      </pivotArea>
    </format>
    <format dxfId="56">
      <pivotArea dataOnly="0" labelOnly="1" grandRow="1" outline="0" fieldPosition="0"/>
    </format>
    <format dxfId="55">
      <pivotArea dataOnly="0" labelOnly="1" outline="0" axis="axisValues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FF61D8-5DA5-4DF9-97F0-19747A546821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17:Q23" firstHeaderRow="1" firstDataRow="2" firstDataCol="1"/>
  <pivotFields count="7">
    <pivotField showAll="0">
      <items count="10">
        <item x="8"/>
        <item x="4"/>
        <item x="1"/>
        <item x="5"/>
        <item x="6"/>
        <item x="3"/>
        <item x="0"/>
        <item x="2"/>
        <item x="7"/>
        <item t="default"/>
      </items>
    </pivotField>
    <pivotField axis="axisRow" showAll="0">
      <items count="5">
        <item x="3"/>
        <item x="2"/>
        <item x="1"/>
        <item x="0"/>
        <item t="default"/>
      </items>
    </pivotField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Sum of Total Sales" fld="6" baseField="0" baseItem="0"/>
  </dataFields>
  <formats count="10">
    <format dxfId="70">
      <pivotArea type="all" dataOnly="0" outline="0" fieldPosition="0"/>
    </format>
    <format dxfId="69">
      <pivotArea outline="0" collapsedLevelsAreSubtotals="1" fieldPosition="0"/>
    </format>
    <format dxfId="68">
      <pivotArea type="origin" dataOnly="0" labelOnly="1" outline="0" fieldPosition="0"/>
    </format>
    <format dxfId="67">
      <pivotArea field="3" type="button" dataOnly="0" labelOnly="1" outline="0" axis="axisCol" fieldPosition="0"/>
    </format>
    <format dxfId="66">
      <pivotArea type="topRight" dataOnly="0" labelOnly="1" outline="0" fieldPosition="0"/>
    </format>
    <format dxfId="65">
      <pivotArea field="0" type="button" dataOnly="0" labelOnly="1" outline="0"/>
    </format>
    <format dxfId="64">
      <pivotArea dataOnly="0" labelOnly="1" grandRow="1" outline="0" fieldPosition="0"/>
    </format>
    <format dxfId="63">
      <pivotArea dataOnly="0" labelOnly="1" fieldPosition="0">
        <references count="1">
          <reference field="3" count="0"/>
        </references>
      </pivotArea>
    </format>
    <format dxfId="62">
      <pivotArea dataOnly="0" labelOnly="1" grandCol="1" outline="0" fieldPosition="0"/>
    </format>
    <format dxfId="6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819273-AD34-4D77-95A6-20563AE9E1AB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7:K23" firstHeaderRow="1" firstDataRow="2" firstDataCol="1"/>
  <pivotFields count="7">
    <pivotField showAll="0">
      <items count="10">
        <item x="8"/>
        <item x="4"/>
        <item x="1"/>
        <item x="5"/>
        <item x="6"/>
        <item x="3"/>
        <item x="0"/>
        <item x="2"/>
        <item x="7"/>
        <item t="default"/>
      </items>
    </pivotField>
    <pivotField axis="axisRow" showAll="0">
      <items count="5">
        <item x="3"/>
        <item x="2"/>
        <item x="1"/>
        <item x="0"/>
        <item t="default"/>
      </items>
    </pivotField>
    <pivotField showAll="0"/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Sum of Total Quantity" fld="5" baseField="0" baseItem="0" numFmtId="167"/>
  </dataFields>
  <formats count="10">
    <format dxfId="80">
      <pivotArea type="all" dataOnly="0" outline="0" fieldPosition="0"/>
    </format>
    <format dxfId="79">
      <pivotArea outline="0" collapsedLevelsAreSubtotals="1" fieldPosition="0"/>
    </format>
    <format dxfId="78">
      <pivotArea type="origin" dataOnly="0" labelOnly="1" outline="0" fieldPosition="0"/>
    </format>
    <format dxfId="77">
      <pivotArea field="3" type="button" dataOnly="0" labelOnly="1" outline="0" axis="axisCol" fieldPosition="0"/>
    </format>
    <format dxfId="76">
      <pivotArea type="topRight" dataOnly="0" labelOnly="1" outline="0" fieldPosition="0"/>
    </format>
    <format dxfId="75">
      <pivotArea field="0" type="button" dataOnly="0" labelOnly="1" outline="0"/>
    </format>
    <format dxfId="74">
      <pivotArea dataOnly="0" labelOnly="1" grandRow="1" outline="0" fieldPosition="0"/>
    </format>
    <format dxfId="73">
      <pivotArea dataOnly="0" labelOnly="1" fieldPosition="0">
        <references count="1">
          <reference field="3" count="0"/>
        </references>
      </pivotArea>
    </format>
    <format dxfId="72">
      <pivotArea dataOnly="0" labelOnly="1" grandCol="1" outline="0" fieldPosition="0"/>
    </format>
    <format dxfId="7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089D17-C975-4411-BFD2-DEF047F4192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I2:J13" firstHeaderRow="1" firstDataRow="1" firstDataCol="1"/>
  <pivotFields count="7">
    <pivotField showAll="0">
      <items count="10">
        <item x="8"/>
        <item x="4"/>
        <item x="1"/>
        <item x="5"/>
        <item x="6"/>
        <item x="3"/>
        <item x="0"/>
        <item x="2"/>
        <item x="7"/>
        <item t="default"/>
      </items>
    </pivotField>
    <pivotField showAll="0"/>
    <pivotField axis="axisRow" showAll="0" measureFilter="1" sortType="ascending">
      <items count="90">
        <item x="67"/>
        <item x="0"/>
        <item x="1"/>
        <item x="2"/>
        <item x="4"/>
        <item x="68"/>
        <item x="5"/>
        <item x="8"/>
        <item x="6"/>
        <item x="7"/>
        <item x="3"/>
        <item x="69"/>
        <item x="9"/>
        <item x="10"/>
        <item x="11"/>
        <item x="70"/>
        <item x="12"/>
        <item x="13"/>
        <item x="14"/>
        <item x="15"/>
        <item x="16"/>
        <item x="17"/>
        <item x="71"/>
        <item x="18"/>
        <item x="72"/>
        <item x="73"/>
        <item x="19"/>
        <item x="20"/>
        <item x="22"/>
        <item x="23"/>
        <item x="74"/>
        <item x="75"/>
        <item x="21"/>
        <item x="25"/>
        <item x="24"/>
        <item x="26"/>
        <item x="27"/>
        <item x="28"/>
        <item x="29"/>
        <item x="88"/>
        <item x="31"/>
        <item x="77"/>
        <item x="78"/>
        <item x="32"/>
        <item x="79"/>
        <item x="30"/>
        <item x="76"/>
        <item x="33"/>
        <item x="34"/>
        <item x="80"/>
        <item x="36"/>
        <item x="35"/>
        <item x="81"/>
        <item x="82"/>
        <item x="37"/>
        <item x="38"/>
        <item x="39"/>
        <item x="40"/>
        <item x="41"/>
        <item x="43"/>
        <item x="44"/>
        <item x="42"/>
        <item x="83"/>
        <item x="45"/>
        <item x="46"/>
        <item x="47"/>
        <item x="48"/>
        <item x="49"/>
        <item x="50"/>
        <item x="51"/>
        <item x="52"/>
        <item x="53"/>
        <item x="84"/>
        <item x="54"/>
        <item x="55"/>
        <item x="56"/>
        <item x="85"/>
        <item x="57"/>
        <item x="58"/>
        <item x="59"/>
        <item x="86"/>
        <item x="60"/>
        <item x="61"/>
        <item x="62"/>
        <item x="63"/>
        <item x="64"/>
        <item x="65"/>
        <item x="87"/>
        <item x="66"/>
        <item t="default"/>
      </items>
    </pivotField>
    <pivotField showAll="0"/>
    <pivotField showAll="0"/>
    <pivotField showAll="0"/>
    <pivotField dataField="1" showAll="0"/>
  </pivotFields>
  <rowFields count="1">
    <field x="2"/>
  </rowFields>
  <rowItems count="11">
    <i>
      <x v="20"/>
    </i>
    <i>
      <x v="23"/>
    </i>
    <i>
      <x v="33"/>
    </i>
    <i>
      <x v="36"/>
    </i>
    <i>
      <x v="38"/>
    </i>
    <i>
      <x v="50"/>
    </i>
    <i>
      <x v="61"/>
    </i>
    <i>
      <x v="63"/>
    </i>
    <i>
      <x v="69"/>
    </i>
    <i>
      <x v="86"/>
    </i>
    <i t="grand">
      <x/>
    </i>
  </rowItems>
  <colItems count="1">
    <i/>
  </colItems>
  <dataFields count="1">
    <dataField name="Sum of Total Sales" fld="6" baseField="0" baseItem="0" numFmtId="164"/>
  </dataFields>
  <formats count="7">
    <format dxfId="87">
      <pivotArea type="all" dataOnly="0" outline="0" fieldPosition="0"/>
    </format>
    <format dxfId="86">
      <pivotArea outline="0" collapsedLevelsAreSubtotals="1" fieldPosition="0"/>
    </format>
    <format dxfId="85">
      <pivotArea field="2" type="button" dataOnly="0" labelOnly="1" outline="0" axis="axisRow" fieldPosition="0"/>
    </format>
    <format dxfId="84">
      <pivotArea dataOnly="0" labelOnly="1" fieldPosition="0">
        <references count="1">
          <reference field="2" count="10">
            <x v="20"/>
            <x v="23"/>
            <x v="33"/>
            <x v="36"/>
            <x v="38"/>
            <x v="50"/>
            <x v="61"/>
            <x v="63"/>
            <x v="69"/>
            <x v="86"/>
          </reference>
        </references>
      </pivotArea>
    </format>
    <format dxfId="83">
      <pivotArea dataOnly="0" labelOnly="1" grandRow="1" outline="0" fieldPosition="0"/>
    </format>
    <format dxfId="82">
      <pivotArea dataOnly="0" labelOnly="1" outline="0" axis="axisValues" fieldPosition="0"/>
    </format>
    <format dxfId="81">
      <pivotArea outline="0" collapsedLevelsAreSubtotals="1" fieldPosition="0"/>
    </format>
  </formats>
  <chartFormats count="1"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48741DB4-2321-4A27-ABC1-006E1B92F059}" autoFormatId="16" applyNumberFormats="0" applyBorderFormats="0" applyFontFormats="0" applyPatternFormats="0" applyAlignmentFormats="0" applyWidthHeightFormats="0">
  <queryTableRefresh nextId="8">
    <queryTableFields count="7">
      <queryTableField id="1" name="EmployeeID" tableColumnId="1"/>
      <queryTableField id="2" name="RegionDescription" tableColumnId="2"/>
      <queryTableField id="3" name="CompanyName" tableColumnId="3"/>
      <queryTableField id="4" name="Year" tableColumnId="4"/>
      <queryTableField id="5" name="Month" tableColumnId="5"/>
      <queryTableField id="6" name="Total Quantity" tableColumnId="6"/>
      <queryTableField id="7" name="Total Sales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7BE8809F-D173-4D85-A58D-EAF655A105B3}" autoFormatId="16" applyNumberFormats="0" applyBorderFormats="0" applyFontFormats="0" applyPatternFormats="0" applyAlignmentFormats="0" applyWidthHeightFormats="0">
  <queryTableRefresh nextId="8">
    <queryTableFields count="7">
      <queryTableField id="1" name="EmployeeID" tableColumnId="1"/>
      <queryTableField id="2" name="RegionDescription" tableColumnId="2"/>
      <queryTableField id="3" name="CompanyName" tableColumnId="3"/>
      <queryTableField id="4" name="Year" tableColumnId="4"/>
      <queryTableField id="5" name="Month" tableColumnId="5"/>
      <queryTableField id="6" name="Total Quantity" tableColumnId="6"/>
      <queryTableField id="7" name="Total Sales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A291DC7D-9444-4D9E-9047-7616C25A25CD}" autoFormatId="16" applyNumberFormats="0" applyBorderFormats="0" applyFontFormats="0" applyPatternFormats="0" applyAlignmentFormats="0" applyWidthHeightFormats="0">
  <queryTableRefresh nextId="8">
    <queryTableFields count="7">
      <queryTableField id="1" name="EmployeeID" tableColumnId="1"/>
      <queryTableField id="2" name="RegionDescription" tableColumnId="2"/>
      <queryTableField id="3" name="CompanyName" tableColumnId="3"/>
      <queryTableField id="4" name="Year" tableColumnId="4"/>
      <queryTableField id="5" name="Month" tableColumnId="5"/>
      <queryTableField id="6" name="Total Quantity" tableColumnId="6"/>
      <queryTableField id="7" name="Total Sales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93E67C5-E709-415E-92F8-76B56C45F273}" autoFormatId="16" applyNumberFormats="0" applyBorderFormats="0" applyFontFormats="0" applyPatternFormats="0" applyAlignmentFormats="0" applyWidthHeightFormats="0">
  <queryTableRefresh nextId="8">
    <queryTableFields count="7">
      <queryTableField id="1" name="EmployeeID" tableColumnId="1"/>
      <queryTableField id="2" name="RegionDescription" tableColumnId="2"/>
      <queryTableField id="3" name="CompanyName" tableColumnId="3"/>
      <queryTableField id="4" name="Year" tableColumnId="4"/>
      <queryTableField id="5" name="Month" tableColumnId="5"/>
      <queryTableField id="6" name="Total Quantity" tableColumnId="6"/>
      <queryTableField id="7" name="Total Sales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A07CFA2-C33D-4832-BFDE-261F7B845B8F}" name="All_Sales" displayName="All_Sales" ref="A1:G807" tableType="queryTable" totalsRowShown="0" headerRowDxfId="105" dataDxfId="104">
  <autoFilter ref="A1:G807" xr:uid="{0A07CFA2-C33D-4832-BFDE-261F7B845B8F}"/>
  <tableColumns count="7">
    <tableColumn id="1" xr3:uid="{6A14F9BC-7F27-4B2A-8DD1-BDBF9BEDD44C}" uniqueName="1" name="EmployeeID" queryTableFieldId="1" dataDxfId="103"/>
    <tableColumn id="2" xr3:uid="{83229511-554F-4AC6-8948-455C5D6CC173}" uniqueName="2" name="RegionDescription" queryTableFieldId="2" dataDxfId="102"/>
    <tableColumn id="3" xr3:uid="{AA25AC74-45D8-4468-90F1-01C3714840D4}" uniqueName="3" name="CompanyName" queryTableFieldId="3" dataDxfId="101"/>
    <tableColumn id="4" xr3:uid="{C7358521-F7CB-45A3-8F3E-BEEC83427A0C}" uniqueName="4" name="Year" queryTableFieldId="4" dataDxfId="100"/>
    <tableColumn id="5" xr3:uid="{C4B98D3E-82EA-4291-A93B-4CB6721E96A3}" uniqueName="5" name="Month" queryTableFieldId="5" dataDxfId="99"/>
    <tableColumn id="6" xr3:uid="{16E3928A-E3F9-4160-B834-6E9A2505EAE7}" uniqueName="6" name="Total Quantity" queryTableFieldId="6" dataDxfId="98"/>
    <tableColumn id="7" xr3:uid="{49FC0A1B-2EFF-4DF1-A74A-2C2DE0D336B4}" uniqueName="7" name="Total Sales" queryTableFieldId="7" dataDxfId="97" dataCellStyle="Currency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242CE03-C874-42AA-97C0-043213B2029C}" name="Sales_1998" displayName="Sales_1998" ref="A1:G263" tableType="queryTable" totalsRowShown="0">
  <autoFilter ref="A1:G263" xr:uid="{A242CE03-C874-42AA-97C0-043213B2029C}"/>
  <tableColumns count="7">
    <tableColumn id="1" xr3:uid="{346EF665-7019-4F87-8500-7D77C429754A}" uniqueName="1" name="EmployeeID" queryTableFieldId="1"/>
    <tableColumn id="2" xr3:uid="{313D6E0D-A96E-471B-8AC7-2F9F5FA3BDC5}" uniqueName="2" name="RegionDescription" queryTableFieldId="2" dataDxfId="96"/>
    <tableColumn id="3" xr3:uid="{DB702A9D-4E80-4D25-B03D-8F1BADB20F18}" uniqueName="3" name="CompanyName" queryTableFieldId="3" dataDxfId="95"/>
    <tableColumn id="4" xr3:uid="{6B09A624-F87A-46E4-8491-4296C5655309}" uniqueName="4" name="Year" queryTableFieldId="4"/>
    <tableColumn id="5" xr3:uid="{8FAD1589-E6C5-4D6D-8AB7-EA22F65BE75A}" uniqueName="5" name="Month" queryTableFieldId="5" dataDxfId="94"/>
    <tableColumn id="6" xr3:uid="{6E84FE1D-9EBC-412D-A624-A5BB3AF20D3B}" uniqueName="6" name="Total Quantity" queryTableFieldId="6"/>
    <tableColumn id="7" xr3:uid="{FE7549D7-E709-46D5-9062-92C338C2B8C4}" uniqueName="7" name="Total Sales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A3F11A-0763-4324-8D16-C8651E2943F2}" name="Sales_1997" displayName="Sales_1997" ref="A1:G397" tableType="queryTable" totalsRowShown="0">
  <autoFilter ref="A1:G397" xr:uid="{12A3F11A-0763-4324-8D16-C8651E2943F2}"/>
  <tableColumns count="7">
    <tableColumn id="1" xr3:uid="{D4902DF7-E7C4-4C92-AB09-0404C962195F}" uniqueName="1" name="EmployeeID" queryTableFieldId="1"/>
    <tableColumn id="2" xr3:uid="{6B1E7D4D-A8AE-463A-9367-FB548EF1FF06}" uniqueName="2" name="RegionDescription" queryTableFieldId="2" dataDxfId="93"/>
    <tableColumn id="3" xr3:uid="{1FB1D2C0-6EA4-4963-BB67-19EECEC5E6C5}" uniqueName="3" name="CompanyName" queryTableFieldId="3" dataDxfId="92"/>
    <tableColumn id="4" xr3:uid="{F917A577-2401-44EE-984F-58FCAD7D7047}" uniqueName="4" name="Year" queryTableFieldId="4"/>
    <tableColumn id="5" xr3:uid="{F7677E98-3748-40C4-8E34-26EBF2D694B3}" uniqueName="5" name="Month" queryTableFieldId="5" dataDxfId="91"/>
    <tableColumn id="6" xr3:uid="{611F8A4B-3E6C-4A21-8FE2-8B4AD5899799}" uniqueName="6" name="Total Quantity" queryTableFieldId="6"/>
    <tableColumn id="7" xr3:uid="{4D172061-7D51-4C21-9C44-428B0F760731}" uniqueName="7" name="Total Sales" queryTableField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4E415D-66AF-49A5-8613-F5B3FFF1B366}" name="Sales_1996" displayName="Sales_1996" ref="A1:G149" tableType="queryTable" totalsRowShown="0">
  <autoFilter ref="A1:G149" xr:uid="{B74E415D-66AF-49A5-8613-F5B3FFF1B366}"/>
  <tableColumns count="7">
    <tableColumn id="1" xr3:uid="{0E43298D-FE60-48C3-B5FE-E9BA78916146}" uniqueName="1" name="EmployeeID" queryTableFieldId="1"/>
    <tableColumn id="2" xr3:uid="{15910016-F1DC-4029-A0B6-81B26382990B}" uniqueName="2" name="RegionDescription" queryTableFieldId="2" dataDxfId="90"/>
    <tableColumn id="3" xr3:uid="{F2821537-7D78-414E-8AE7-5967AFFE5852}" uniqueName="3" name="CompanyName" queryTableFieldId="3" dataDxfId="89"/>
    <tableColumn id="4" xr3:uid="{05B7A399-A0D9-49E4-A1DE-C26F5A2F5B62}" uniqueName="4" name="Year" queryTableFieldId="4"/>
    <tableColumn id="5" xr3:uid="{6127A824-D7E5-43BE-8601-0049E3AE46B7}" uniqueName="5" name="Month" queryTableFieldId="5" dataDxfId="88"/>
    <tableColumn id="6" xr3:uid="{01F08278-68CC-4029-9A43-3C3086C92E58}" uniqueName="6" name="Total Quantity" queryTableFieldId="6"/>
    <tableColumn id="7" xr3:uid="{2C493F74-F42E-4219-874C-11FBA9C9A129}" uniqueName="7" name="Total Sales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67FCE-7DF3-4E98-8C88-439A96BFA39E}">
  <dimension ref="A1:O807"/>
  <sheetViews>
    <sheetView workbookViewId="0">
      <selection activeCell="J11" sqref="J11:L15"/>
    </sheetView>
  </sheetViews>
  <sheetFormatPr defaultRowHeight="15" x14ac:dyDescent="0.25"/>
  <cols>
    <col min="1" max="1" width="16.5703125" style="1" bestFit="1" customWidth="1"/>
    <col min="2" max="2" width="22.7109375" style="1" bestFit="1" customWidth="1"/>
    <col min="3" max="3" width="33.85546875" style="1" bestFit="1" customWidth="1"/>
    <col min="4" max="4" width="9.5703125" style="1" bestFit="1" customWidth="1"/>
    <col min="5" max="5" width="11.28515625" style="1" bestFit="1" customWidth="1"/>
    <col min="6" max="6" width="18.28515625" style="1" bestFit="1" customWidth="1"/>
    <col min="7" max="7" width="15.28515625" style="3" bestFit="1" customWidth="1"/>
    <col min="8" max="10" width="9.140625" style="1"/>
    <col min="11" max="11" width="14.28515625" style="1" bestFit="1" customWidth="1"/>
    <col min="12" max="12" width="9.140625" style="1"/>
    <col min="13" max="13" width="13.42578125" style="1" bestFit="1" customWidth="1"/>
    <col min="14" max="14" width="17.7109375" style="1" bestFit="1" customWidth="1"/>
    <col min="15" max="16384" width="9.140625" style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</row>
    <row r="2" spans="1:15" x14ac:dyDescent="0.25">
      <c r="A2" s="1">
        <v>7</v>
      </c>
      <c r="B2" s="1" t="s">
        <v>7</v>
      </c>
      <c r="C2" s="1" t="s">
        <v>8</v>
      </c>
      <c r="D2" s="1">
        <v>1996</v>
      </c>
      <c r="E2" s="1" t="s">
        <v>9</v>
      </c>
      <c r="F2" s="1">
        <v>6</v>
      </c>
      <c r="G2" s="3">
        <v>88.8</v>
      </c>
    </row>
    <row r="3" spans="1:15" x14ac:dyDescent="0.25">
      <c r="A3" s="1">
        <v>3</v>
      </c>
      <c r="B3" s="1" t="s">
        <v>10</v>
      </c>
      <c r="C3" s="1" t="s">
        <v>11</v>
      </c>
      <c r="D3" s="1">
        <v>1996</v>
      </c>
      <c r="E3" s="1" t="s">
        <v>12</v>
      </c>
      <c r="F3" s="1">
        <v>24</v>
      </c>
      <c r="G3" s="3">
        <v>403.2</v>
      </c>
    </row>
    <row r="4" spans="1:15" x14ac:dyDescent="0.25">
      <c r="A4" s="1">
        <v>8</v>
      </c>
      <c r="B4" s="1" t="s">
        <v>13</v>
      </c>
      <c r="C4" s="1" t="s">
        <v>14</v>
      </c>
      <c r="D4" s="1">
        <v>1996</v>
      </c>
      <c r="E4" s="1" t="s">
        <v>15</v>
      </c>
      <c r="F4" s="1">
        <v>55</v>
      </c>
      <c r="G4" s="3">
        <v>899</v>
      </c>
    </row>
    <row r="5" spans="1:15" x14ac:dyDescent="0.25">
      <c r="A5" s="1">
        <v>6</v>
      </c>
      <c r="B5" s="1" t="s">
        <v>7</v>
      </c>
      <c r="C5" s="1" t="s">
        <v>14</v>
      </c>
      <c r="D5" s="1">
        <v>1996</v>
      </c>
      <c r="E5" s="1" t="s">
        <v>12</v>
      </c>
      <c r="F5" s="1">
        <v>50</v>
      </c>
      <c r="G5" s="3">
        <v>480</v>
      </c>
    </row>
    <row r="6" spans="1:15" x14ac:dyDescent="0.25">
      <c r="A6" s="1">
        <v>7</v>
      </c>
      <c r="B6" s="1" t="s">
        <v>7</v>
      </c>
      <c r="C6" s="1" t="s">
        <v>16</v>
      </c>
      <c r="D6" s="1">
        <v>1996</v>
      </c>
      <c r="E6" s="1" t="s">
        <v>17</v>
      </c>
      <c r="F6" s="1">
        <v>39</v>
      </c>
      <c r="G6" s="3">
        <v>479.4</v>
      </c>
    </row>
    <row r="7" spans="1:15" x14ac:dyDescent="0.25">
      <c r="A7" s="1">
        <v>8</v>
      </c>
      <c r="B7" s="1" t="s">
        <v>13</v>
      </c>
      <c r="C7" s="1" t="s">
        <v>18</v>
      </c>
      <c r="D7" s="1">
        <v>1996</v>
      </c>
      <c r="E7" s="1" t="s">
        <v>17</v>
      </c>
      <c r="F7" s="1">
        <v>64</v>
      </c>
      <c r="G7" s="3">
        <v>1488.8</v>
      </c>
      <c r="M7"/>
      <c r="N7"/>
    </row>
    <row r="8" spans="1:15" x14ac:dyDescent="0.25">
      <c r="A8" s="1">
        <v>2</v>
      </c>
      <c r="B8" s="1" t="s">
        <v>19</v>
      </c>
      <c r="C8" s="1" t="s">
        <v>18</v>
      </c>
      <c r="D8" s="1">
        <v>1996</v>
      </c>
      <c r="E8" s="1" t="s">
        <v>17</v>
      </c>
      <c r="F8" s="1">
        <v>62</v>
      </c>
      <c r="G8" s="3">
        <v>613.20000000000005</v>
      </c>
      <c r="M8"/>
      <c r="N8"/>
      <c r="O8"/>
    </row>
    <row r="9" spans="1:15" x14ac:dyDescent="0.25">
      <c r="A9" s="1">
        <v>3</v>
      </c>
      <c r="B9" s="1" t="s">
        <v>10</v>
      </c>
      <c r="C9" s="1" t="s">
        <v>18</v>
      </c>
      <c r="D9" s="1">
        <v>1996</v>
      </c>
      <c r="E9" s="1" t="s">
        <v>15</v>
      </c>
      <c r="F9" s="1">
        <v>43</v>
      </c>
      <c r="G9" s="3">
        <v>2222.4</v>
      </c>
      <c r="M9"/>
      <c r="N9"/>
      <c r="O9"/>
    </row>
    <row r="10" spans="1:15" x14ac:dyDescent="0.25">
      <c r="A10" s="1">
        <v>4</v>
      </c>
      <c r="B10" s="1" t="s">
        <v>19</v>
      </c>
      <c r="C10" s="1" t="s">
        <v>20</v>
      </c>
      <c r="D10" s="1">
        <v>1996</v>
      </c>
      <c r="E10" s="1" t="s">
        <v>12</v>
      </c>
      <c r="F10" s="1">
        <v>138</v>
      </c>
      <c r="G10" s="3">
        <v>7390.2</v>
      </c>
      <c r="M10"/>
      <c r="N10"/>
      <c r="O10"/>
    </row>
    <row r="11" spans="1:15" x14ac:dyDescent="0.25">
      <c r="A11" s="1">
        <v>2</v>
      </c>
      <c r="B11" s="1" t="s">
        <v>19</v>
      </c>
      <c r="C11" s="1" t="s">
        <v>20</v>
      </c>
      <c r="D11" s="1">
        <v>1996</v>
      </c>
      <c r="E11" s="1" t="s">
        <v>21</v>
      </c>
      <c r="F11" s="1">
        <v>50</v>
      </c>
      <c r="G11" s="3">
        <v>1176</v>
      </c>
      <c r="M11"/>
      <c r="N11"/>
      <c r="O11"/>
    </row>
    <row r="12" spans="1:15" x14ac:dyDescent="0.25">
      <c r="A12" s="1">
        <v>5</v>
      </c>
      <c r="B12" s="1" t="s">
        <v>19</v>
      </c>
      <c r="C12" s="1" t="s">
        <v>20</v>
      </c>
      <c r="D12" s="1">
        <v>1996</v>
      </c>
      <c r="E12" s="1" t="s">
        <v>9</v>
      </c>
      <c r="F12" s="1">
        <v>80</v>
      </c>
      <c r="G12" s="3">
        <v>1420</v>
      </c>
      <c r="M12"/>
      <c r="N12"/>
      <c r="O12"/>
    </row>
    <row r="13" spans="1:15" x14ac:dyDescent="0.25">
      <c r="A13" s="1">
        <v>9</v>
      </c>
      <c r="B13" s="1" t="s">
        <v>13</v>
      </c>
      <c r="C13" s="1" t="s">
        <v>22</v>
      </c>
      <c r="D13" s="1">
        <v>1996</v>
      </c>
      <c r="E13" s="1" t="s">
        <v>23</v>
      </c>
      <c r="F13" s="1">
        <v>15</v>
      </c>
      <c r="G13" s="3">
        <v>88.5</v>
      </c>
      <c r="M13"/>
      <c r="N13"/>
      <c r="O13"/>
    </row>
    <row r="14" spans="1:15" x14ac:dyDescent="0.25">
      <c r="A14" s="1">
        <v>1</v>
      </c>
      <c r="B14" s="1" t="s">
        <v>19</v>
      </c>
      <c r="C14" s="1" t="s">
        <v>22</v>
      </c>
      <c r="D14" s="1">
        <v>1996</v>
      </c>
      <c r="E14" s="1" t="s">
        <v>23</v>
      </c>
      <c r="F14" s="1">
        <v>72</v>
      </c>
      <c r="G14" s="3">
        <v>2436.1799980000001</v>
      </c>
      <c r="O14"/>
    </row>
    <row r="15" spans="1:15" x14ac:dyDescent="0.25">
      <c r="A15" s="1">
        <v>3</v>
      </c>
      <c r="B15" s="1" t="s">
        <v>10</v>
      </c>
      <c r="C15" s="1" t="s">
        <v>22</v>
      </c>
      <c r="D15" s="1">
        <v>1996</v>
      </c>
      <c r="E15" s="1" t="s">
        <v>12</v>
      </c>
      <c r="F15" s="1">
        <v>94</v>
      </c>
      <c r="G15" s="3">
        <v>1549.6</v>
      </c>
      <c r="O15"/>
    </row>
    <row r="16" spans="1:15" x14ac:dyDescent="0.25">
      <c r="A16" s="1">
        <v>4</v>
      </c>
      <c r="B16" s="1" t="s">
        <v>19</v>
      </c>
      <c r="C16" s="1" t="s">
        <v>24</v>
      </c>
      <c r="D16" s="1">
        <v>1996</v>
      </c>
      <c r="E16" s="1" t="s">
        <v>15</v>
      </c>
      <c r="F16" s="1">
        <v>81</v>
      </c>
      <c r="G16" s="3">
        <v>1832.8</v>
      </c>
      <c r="O16"/>
    </row>
    <row r="17" spans="1:15" x14ac:dyDescent="0.25">
      <c r="A17" s="1">
        <v>4</v>
      </c>
      <c r="B17" s="1" t="s">
        <v>19</v>
      </c>
      <c r="C17" s="1" t="s">
        <v>25</v>
      </c>
      <c r="D17" s="1">
        <v>1996</v>
      </c>
      <c r="E17" s="1" t="s">
        <v>23</v>
      </c>
      <c r="F17" s="1">
        <v>90</v>
      </c>
      <c r="G17" s="3">
        <v>982</v>
      </c>
      <c r="O17"/>
    </row>
    <row r="18" spans="1:15" x14ac:dyDescent="0.25">
      <c r="A18" s="1">
        <v>4</v>
      </c>
      <c r="B18" s="1" t="s">
        <v>19</v>
      </c>
      <c r="C18" s="1" t="s">
        <v>26</v>
      </c>
      <c r="D18" s="1">
        <v>1996</v>
      </c>
      <c r="E18" s="1" t="s">
        <v>21</v>
      </c>
      <c r="F18" s="1">
        <v>11</v>
      </c>
      <c r="G18" s="3">
        <v>100.8</v>
      </c>
      <c r="O18"/>
    </row>
    <row r="19" spans="1:15" x14ac:dyDescent="0.25">
      <c r="A19" s="1">
        <v>5</v>
      </c>
      <c r="B19" s="1" t="s">
        <v>19</v>
      </c>
      <c r="C19" s="1" t="s">
        <v>27</v>
      </c>
      <c r="D19" s="1">
        <v>1996</v>
      </c>
      <c r="E19" s="1" t="s">
        <v>21</v>
      </c>
      <c r="F19" s="1">
        <v>57</v>
      </c>
      <c r="G19" s="3">
        <v>556.61999730000002</v>
      </c>
      <c r="O19"/>
    </row>
    <row r="20" spans="1:15" x14ac:dyDescent="0.25">
      <c r="A20" s="1">
        <v>6</v>
      </c>
      <c r="B20" s="1" t="s">
        <v>7</v>
      </c>
      <c r="C20" s="1" t="s">
        <v>27</v>
      </c>
      <c r="D20" s="1">
        <v>1996</v>
      </c>
      <c r="E20" s="1" t="s">
        <v>15</v>
      </c>
      <c r="F20" s="1">
        <v>65</v>
      </c>
      <c r="G20" s="3">
        <v>1117.5999979999999</v>
      </c>
      <c r="O20"/>
    </row>
    <row r="21" spans="1:15" x14ac:dyDescent="0.25">
      <c r="A21" s="1">
        <v>8</v>
      </c>
      <c r="B21" s="1" t="s">
        <v>13</v>
      </c>
      <c r="C21" s="1" t="s">
        <v>28</v>
      </c>
      <c r="D21" s="1">
        <v>1996</v>
      </c>
      <c r="E21" s="1" t="s">
        <v>17</v>
      </c>
      <c r="F21" s="1">
        <v>60</v>
      </c>
      <c r="G21" s="3">
        <v>2169</v>
      </c>
      <c r="O21"/>
    </row>
    <row r="22" spans="1:15" x14ac:dyDescent="0.25">
      <c r="A22" s="1">
        <v>4</v>
      </c>
      <c r="B22" s="1" t="s">
        <v>19</v>
      </c>
      <c r="C22" s="1" t="s">
        <v>29</v>
      </c>
      <c r="D22" s="1">
        <v>1996</v>
      </c>
      <c r="E22" s="1" t="s">
        <v>12</v>
      </c>
      <c r="F22" s="1">
        <v>40</v>
      </c>
      <c r="G22" s="3">
        <v>363.59999870000001</v>
      </c>
      <c r="O22"/>
    </row>
    <row r="23" spans="1:15" x14ac:dyDescent="0.25">
      <c r="A23" s="1">
        <v>2</v>
      </c>
      <c r="B23" s="1" t="s">
        <v>19</v>
      </c>
      <c r="C23" s="1" t="s">
        <v>29</v>
      </c>
      <c r="D23" s="1">
        <v>1996</v>
      </c>
      <c r="E23" s="1" t="s">
        <v>9</v>
      </c>
      <c r="F23" s="1">
        <v>58</v>
      </c>
      <c r="G23" s="3">
        <v>1614.8</v>
      </c>
      <c r="O23"/>
    </row>
    <row r="24" spans="1:15" x14ac:dyDescent="0.25">
      <c r="A24" s="1">
        <v>6</v>
      </c>
      <c r="B24" s="1" t="s">
        <v>7</v>
      </c>
      <c r="C24" s="1" t="s">
        <v>29</v>
      </c>
      <c r="D24" s="1">
        <v>1996</v>
      </c>
      <c r="E24" s="1" t="s">
        <v>12</v>
      </c>
      <c r="F24" s="1">
        <v>62</v>
      </c>
      <c r="G24" s="3">
        <v>1106.4000000000001</v>
      </c>
      <c r="O24"/>
    </row>
    <row r="25" spans="1:15" x14ac:dyDescent="0.25">
      <c r="A25" s="1">
        <v>8</v>
      </c>
      <c r="B25" s="1" t="s">
        <v>13</v>
      </c>
      <c r="C25" s="1" t="s">
        <v>29</v>
      </c>
      <c r="D25" s="1">
        <v>1996</v>
      </c>
      <c r="E25" s="1" t="s">
        <v>9</v>
      </c>
      <c r="F25" s="1">
        <v>30</v>
      </c>
      <c r="G25" s="3">
        <v>755</v>
      </c>
      <c r="O25"/>
    </row>
    <row r="26" spans="1:15" x14ac:dyDescent="0.25">
      <c r="A26" s="1">
        <v>3</v>
      </c>
      <c r="B26" s="1" t="s">
        <v>10</v>
      </c>
      <c r="C26" s="1" t="s">
        <v>30</v>
      </c>
      <c r="D26" s="1">
        <v>1996</v>
      </c>
      <c r="E26" s="1" t="s">
        <v>15</v>
      </c>
      <c r="F26" s="1">
        <v>18</v>
      </c>
      <c r="G26" s="3">
        <v>86.4</v>
      </c>
    </row>
    <row r="27" spans="1:15" x14ac:dyDescent="0.25">
      <c r="A27" s="1">
        <v>4</v>
      </c>
      <c r="B27" s="1" t="s">
        <v>19</v>
      </c>
      <c r="C27" s="1" t="s">
        <v>30</v>
      </c>
      <c r="D27" s="1">
        <v>1996</v>
      </c>
      <c r="E27" s="1" t="s">
        <v>12</v>
      </c>
      <c r="F27" s="1">
        <v>44</v>
      </c>
      <c r="G27" s="3">
        <v>447.2</v>
      </c>
    </row>
    <row r="28" spans="1:15" x14ac:dyDescent="0.25">
      <c r="A28" s="1">
        <v>1</v>
      </c>
      <c r="B28" s="1" t="s">
        <v>19</v>
      </c>
      <c r="C28" s="1" t="s">
        <v>31</v>
      </c>
      <c r="D28" s="1">
        <v>1996</v>
      </c>
      <c r="E28" s="1" t="s">
        <v>9</v>
      </c>
      <c r="F28" s="1">
        <v>13</v>
      </c>
      <c r="G28" s="3">
        <v>268.8</v>
      </c>
    </row>
    <row r="29" spans="1:15" x14ac:dyDescent="0.25">
      <c r="A29" s="1">
        <v>1</v>
      </c>
      <c r="B29" s="1" t="s">
        <v>19</v>
      </c>
      <c r="C29" s="1" t="s">
        <v>32</v>
      </c>
      <c r="D29" s="1">
        <v>1996</v>
      </c>
      <c r="E29" s="1" t="s">
        <v>12</v>
      </c>
      <c r="F29" s="1">
        <v>35</v>
      </c>
      <c r="G29" s="3">
        <v>950</v>
      </c>
    </row>
    <row r="30" spans="1:15" x14ac:dyDescent="0.25">
      <c r="A30" s="1">
        <v>9</v>
      </c>
      <c r="B30" s="1" t="s">
        <v>13</v>
      </c>
      <c r="C30" s="1" t="s">
        <v>33</v>
      </c>
      <c r="D30" s="1">
        <v>1996</v>
      </c>
      <c r="E30" s="1" t="s">
        <v>21</v>
      </c>
      <c r="F30" s="1">
        <v>184</v>
      </c>
      <c r="G30" s="3">
        <v>1873.8</v>
      </c>
    </row>
    <row r="31" spans="1:15" x14ac:dyDescent="0.25">
      <c r="A31" s="1">
        <v>2</v>
      </c>
      <c r="B31" s="1" t="s">
        <v>19</v>
      </c>
      <c r="C31" s="1" t="s">
        <v>33</v>
      </c>
      <c r="D31" s="1">
        <v>1996</v>
      </c>
      <c r="E31" s="1" t="s">
        <v>12</v>
      </c>
      <c r="F31" s="1">
        <v>78</v>
      </c>
      <c r="G31" s="3">
        <v>1689.779998</v>
      </c>
    </row>
    <row r="32" spans="1:15" x14ac:dyDescent="0.25">
      <c r="A32" s="1">
        <v>4</v>
      </c>
      <c r="B32" s="1" t="s">
        <v>19</v>
      </c>
      <c r="C32" s="1" t="s">
        <v>33</v>
      </c>
      <c r="D32" s="1">
        <v>1996</v>
      </c>
      <c r="E32" s="1" t="s">
        <v>15</v>
      </c>
      <c r="F32" s="1">
        <v>165</v>
      </c>
      <c r="G32" s="3">
        <v>2900</v>
      </c>
    </row>
    <row r="33" spans="1:7" x14ac:dyDescent="0.25">
      <c r="A33" s="1">
        <v>6</v>
      </c>
      <c r="B33" s="1" t="s">
        <v>7</v>
      </c>
      <c r="C33" s="1" t="s">
        <v>33</v>
      </c>
      <c r="D33" s="1">
        <v>1996</v>
      </c>
      <c r="E33" s="1" t="s">
        <v>15</v>
      </c>
      <c r="F33" s="1">
        <v>169</v>
      </c>
      <c r="G33" s="3">
        <v>2090.879997</v>
      </c>
    </row>
    <row r="34" spans="1:7" x14ac:dyDescent="0.25">
      <c r="A34" s="1">
        <v>1</v>
      </c>
      <c r="B34" s="1" t="s">
        <v>19</v>
      </c>
      <c r="C34" s="1" t="s">
        <v>33</v>
      </c>
      <c r="D34" s="1">
        <v>1996</v>
      </c>
      <c r="E34" s="1" t="s">
        <v>21</v>
      </c>
      <c r="F34" s="1">
        <v>121</v>
      </c>
      <c r="G34" s="3">
        <v>1614.8799939999999</v>
      </c>
    </row>
    <row r="35" spans="1:7" x14ac:dyDescent="0.25">
      <c r="A35" s="1">
        <v>1</v>
      </c>
      <c r="B35" s="1" t="s">
        <v>19</v>
      </c>
      <c r="C35" s="1" t="s">
        <v>33</v>
      </c>
      <c r="D35" s="1">
        <v>1996</v>
      </c>
      <c r="E35" s="1" t="s">
        <v>12</v>
      </c>
      <c r="F35" s="1">
        <v>120</v>
      </c>
      <c r="G35" s="3">
        <v>5398.7249959999999</v>
      </c>
    </row>
    <row r="36" spans="1:7" x14ac:dyDescent="0.25">
      <c r="A36" s="1">
        <v>4</v>
      </c>
      <c r="B36" s="1" t="s">
        <v>19</v>
      </c>
      <c r="C36" s="1" t="s">
        <v>34</v>
      </c>
      <c r="D36" s="1">
        <v>1996</v>
      </c>
      <c r="E36" s="1" t="s">
        <v>12</v>
      </c>
      <c r="F36" s="1">
        <v>70</v>
      </c>
      <c r="G36" s="3">
        <v>814.41999550000003</v>
      </c>
    </row>
    <row r="37" spans="1:7" x14ac:dyDescent="0.25">
      <c r="A37" s="1">
        <v>9</v>
      </c>
      <c r="B37" s="1" t="s">
        <v>13</v>
      </c>
      <c r="C37" s="1" t="s">
        <v>34</v>
      </c>
      <c r="D37" s="1">
        <v>1996</v>
      </c>
      <c r="E37" s="1" t="s">
        <v>15</v>
      </c>
      <c r="F37" s="1">
        <v>25</v>
      </c>
      <c r="G37" s="3">
        <v>166</v>
      </c>
    </row>
    <row r="38" spans="1:7" x14ac:dyDescent="0.25">
      <c r="A38" s="1">
        <v>5</v>
      </c>
      <c r="B38" s="1" t="s">
        <v>19</v>
      </c>
      <c r="C38" s="1" t="s">
        <v>35</v>
      </c>
      <c r="D38" s="1">
        <v>1996</v>
      </c>
      <c r="E38" s="1" t="s">
        <v>15</v>
      </c>
      <c r="F38" s="1">
        <v>6</v>
      </c>
      <c r="G38" s="3">
        <v>103.2</v>
      </c>
    </row>
    <row r="39" spans="1:7" x14ac:dyDescent="0.25">
      <c r="A39" s="1">
        <v>2</v>
      </c>
      <c r="B39" s="1" t="s">
        <v>19</v>
      </c>
      <c r="C39" s="1" t="s">
        <v>35</v>
      </c>
      <c r="D39" s="1">
        <v>1996</v>
      </c>
      <c r="E39" s="1" t="s">
        <v>23</v>
      </c>
      <c r="F39" s="1">
        <v>140</v>
      </c>
      <c r="G39" s="3">
        <v>1809.9999929999999</v>
      </c>
    </row>
    <row r="40" spans="1:7" x14ac:dyDescent="0.25">
      <c r="A40" s="1">
        <v>6</v>
      </c>
      <c r="B40" s="1" t="s">
        <v>7</v>
      </c>
      <c r="C40" s="1" t="s">
        <v>35</v>
      </c>
      <c r="D40" s="1">
        <v>1996</v>
      </c>
      <c r="E40" s="1" t="s">
        <v>21</v>
      </c>
      <c r="F40" s="1">
        <v>60</v>
      </c>
      <c r="G40" s="3">
        <v>695.62499890000004</v>
      </c>
    </row>
    <row r="41" spans="1:7" x14ac:dyDescent="0.25">
      <c r="A41" s="1">
        <v>1</v>
      </c>
      <c r="B41" s="1" t="s">
        <v>19</v>
      </c>
      <c r="C41" s="1" t="s">
        <v>36</v>
      </c>
      <c r="D41" s="1">
        <v>1996</v>
      </c>
      <c r="E41" s="1" t="s">
        <v>15</v>
      </c>
      <c r="F41" s="1">
        <v>121</v>
      </c>
      <c r="G41" s="3">
        <v>1903.8</v>
      </c>
    </row>
    <row r="42" spans="1:7" x14ac:dyDescent="0.25">
      <c r="A42" s="1">
        <v>4</v>
      </c>
      <c r="B42" s="1" t="s">
        <v>19</v>
      </c>
      <c r="C42" s="1" t="s">
        <v>36</v>
      </c>
      <c r="D42" s="1">
        <v>1996</v>
      </c>
      <c r="E42" s="1" t="s">
        <v>21</v>
      </c>
      <c r="F42" s="1">
        <v>135</v>
      </c>
      <c r="G42" s="3">
        <v>3536.59998</v>
      </c>
    </row>
    <row r="43" spans="1:7" x14ac:dyDescent="0.25">
      <c r="A43" s="1">
        <v>4</v>
      </c>
      <c r="B43" s="1" t="s">
        <v>19</v>
      </c>
      <c r="C43" s="1" t="s">
        <v>36</v>
      </c>
      <c r="D43" s="1">
        <v>1996</v>
      </c>
      <c r="E43" s="1" t="s">
        <v>23</v>
      </c>
      <c r="F43" s="1">
        <v>297</v>
      </c>
      <c r="G43" s="3">
        <v>4307.6399929999998</v>
      </c>
    </row>
    <row r="44" spans="1:7" x14ac:dyDescent="0.25">
      <c r="A44" s="1">
        <v>3</v>
      </c>
      <c r="B44" s="1" t="s">
        <v>10</v>
      </c>
      <c r="C44" s="1" t="s">
        <v>37</v>
      </c>
      <c r="D44" s="1">
        <v>1996</v>
      </c>
      <c r="E44" s="1" t="s">
        <v>12</v>
      </c>
      <c r="F44" s="1">
        <v>30</v>
      </c>
      <c r="G44" s="3">
        <v>136.2999993</v>
      </c>
    </row>
    <row r="45" spans="1:7" x14ac:dyDescent="0.25">
      <c r="A45" s="1">
        <v>4</v>
      </c>
      <c r="B45" s="1" t="s">
        <v>19</v>
      </c>
      <c r="C45" s="1" t="s">
        <v>37</v>
      </c>
      <c r="D45" s="1">
        <v>1996</v>
      </c>
      <c r="E45" s="1" t="s">
        <v>23</v>
      </c>
      <c r="F45" s="1">
        <v>59</v>
      </c>
      <c r="G45" s="3">
        <v>1168</v>
      </c>
    </row>
    <row r="46" spans="1:7" x14ac:dyDescent="0.25">
      <c r="A46" s="1">
        <v>8</v>
      </c>
      <c r="B46" s="1" t="s">
        <v>13</v>
      </c>
      <c r="C46" s="1" t="s">
        <v>38</v>
      </c>
      <c r="D46" s="1">
        <v>1996</v>
      </c>
      <c r="E46" s="1" t="s">
        <v>21</v>
      </c>
      <c r="F46" s="1">
        <v>14</v>
      </c>
      <c r="G46" s="3">
        <v>1101.2</v>
      </c>
    </row>
    <row r="47" spans="1:7" x14ac:dyDescent="0.25">
      <c r="A47" s="1">
        <v>8</v>
      </c>
      <c r="B47" s="1" t="s">
        <v>13</v>
      </c>
      <c r="C47" s="1" t="s">
        <v>39</v>
      </c>
      <c r="D47" s="1">
        <v>1996</v>
      </c>
      <c r="E47" s="1" t="s">
        <v>12</v>
      </c>
      <c r="F47" s="1">
        <v>10</v>
      </c>
      <c r="G47" s="3">
        <v>136</v>
      </c>
    </row>
    <row r="48" spans="1:7" x14ac:dyDescent="0.25">
      <c r="A48" s="1">
        <v>7</v>
      </c>
      <c r="B48" s="1" t="s">
        <v>7</v>
      </c>
      <c r="C48" s="1" t="s">
        <v>40</v>
      </c>
      <c r="D48" s="1">
        <v>1996</v>
      </c>
      <c r="E48" s="1" t="s">
        <v>9</v>
      </c>
      <c r="F48" s="1">
        <v>85</v>
      </c>
      <c r="G48" s="3">
        <v>1117.799998</v>
      </c>
    </row>
    <row r="49" spans="1:7" x14ac:dyDescent="0.25">
      <c r="A49" s="1">
        <v>4</v>
      </c>
      <c r="B49" s="1" t="s">
        <v>19</v>
      </c>
      <c r="C49" s="1" t="s">
        <v>41</v>
      </c>
      <c r="D49" s="1">
        <v>1996</v>
      </c>
      <c r="E49" s="1" t="s">
        <v>21</v>
      </c>
      <c r="F49" s="1">
        <v>46</v>
      </c>
      <c r="G49" s="3">
        <v>1119.9000000000001</v>
      </c>
    </row>
    <row r="50" spans="1:7" x14ac:dyDescent="0.25">
      <c r="A50" s="1">
        <v>6</v>
      </c>
      <c r="B50" s="1" t="s">
        <v>7</v>
      </c>
      <c r="C50" s="1" t="s">
        <v>41</v>
      </c>
      <c r="D50" s="1">
        <v>1996</v>
      </c>
      <c r="E50" s="1" t="s">
        <v>15</v>
      </c>
      <c r="F50" s="1">
        <v>106</v>
      </c>
      <c r="G50" s="3">
        <v>2122.919997</v>
      </c>
    </row>
    <row r="51" spans="1:7" x14ac:dyDescent="0.25">
      <c r="A51" s="1">
        <v>3</v>
      </c>
      <c r="B51" s="1" t="s">
        <v>10</v>
      </c>
      <c r="C51" s="1" t="s">
        <v>42</v>
      </c>
      <c r="D51" s="1">
        <v>1996</v>
      </c>
      <c r="E51" s="1" t="s">
        <v>21</v>
      </c>
      <c r="F51" s="1">
        <v>102</v>
      </c>
      <c r="G51" s="3">
        <v>1444.8</v>
      </c>
    </row>
    <row r="52" spans="1:7" x14ac:dyDescent="0.25">
      <c r="A52" s="1">
        <v>4</v>
      </c>
      <c r="B52" s="1" t="s">
        <v>19</v>
      </c>
      <c r="C52" s="1" t="s">
        <v>42</v>
      </c>
      <c r="D52" s="1">
        <v>1996</v>
      </c>
      <c r="E52" s="1" t="s">
        <v>21</v>
      </c>
      <c r="F52" s="1">
        <v>60</v>
      </c>
      <c r="G52" s="3">
        <v>1552.5999899999999</v>
      </c>
    </row>
    <row r="53" spans="1:7" x14ac:dyDescent="0.25">
      <c r="A53" s="1">
        <v>1</v>
      </c>
      <c r="B53" s="1" t="s">
        <v>19</v>
      </c>
      <c r="C53" s="1" t="s">
        <v>43</v>
      </c>
      <c r="D53" s="1">
        <v>1996</v>
      </c>
      <c r="E53" s="1" t="s">
        <v>15</v>
      </c>
      <c r="F53" s="1">
        <v>20</v>
      </c>
      <c r="G53" s="3">
        <v>442</v>
      </c>
    </row>
    <row r="54" spans="1:7" x14ac:dyDescent="0.25">
      <c r="A54" s="1">
        <v>3</v>
      </c>
      <c r="B54" s="1" t="s">
        <v>10</v>
      </c>
      <c r="C54" s="1" t="s">
        <v>43</v>
      </c>
      <c r="D54" s="1">
        <v>1996</v>
      </c>
      <c r="E54" s="1" t="s">
        <v>15</v>
      </c>
      <c r="F54" s="1">
        <v>25</v>
      </c>
      <c r="G54" s="3">
        <v>338</v>
      </c>
    </row>
    <row r="55" spans="1:7" x14ac:dyDescent="0.25">
      <c r="A55" s="1">
        <v>4</v>
      </c>
      <c r="B55" s="1" t="s">
        <v>19</v>
      </c>
      <c r="C55" s="1" t="s">
        <v>44</v>
      </c>
      <c r="D55" s="1">
        <v>1996</v>
      </c>
      <c r="E55" s="1" t="s">
        <v>15</v>
      </c>
      <c r="F55" s="1">
        <v>130</v>
      </c>
      <c r="G55" s="3">
        <v>1366.399995</v>
      </c>
    </row>
    <row r="56" spans="1:7" x14ac:dyDescent="0.25">
      <c r="A56" s="1">
        <v>6</v>
      </c>
      <c r="B56" s="1" t="s">
        <v>7</v>
      </c>
      <c r="C56" s="1" t="s">
        <v>44</v>
      </c>
      <c r="D56" s="1">
        <v>1996</v>
      </c>
      <c r="E56" s="1" t="s">
        <v>9</v>
      </c>
      <c r="F56" s="1">
        <v>125</v>
      </c>
      <c r="G56" s="3">
        <v>2645</v>
      </c>
    </row>
    <row r="57" spans="1:7" x14ac:dyDescent="0.25">
      <c r="A57" s="1">
        <v>7</v>
      </c>
      <c r="B57" s="1" t="s">
        <v>7</v>
      </c>
      <c r="C57" s="1" t="s">
        <v>44</v>
      </c>
      <c r="D57" s="1">
        <v>1996</v>
      </c>
      <c r="E57" s="1" t="s">
        <v>23</v>
      </c>
      <c r="F57" s="1">
        <v>86</v>
      </c>
      <c r="G57" s="3">
        <v>2036.1599920000001</v>
      </c>
    </row>
    <row r="58" spans="1:7" x14ac:dyDescent="0.25">
      <c r="A58" s="1">
        <v>3</v>
      </c>
      <c r="B58" s="1" t="s">
        <v>10</v>
      </c>
      <c r="C58" s="1" t="s">
        <v>44</v>
      </c>
      <c r="D58" s="1">
        <v>1996</v>
      </c>
      <c r="E58" s="1" t="s">
        <v>9</v>
      </c>
      <c r="F58" s="1">
        <v>75</v>
      </c>
      <c r="G58" s="3">
        <v>1762</v>
      </c>
    </row>
    <row r="59" spans="1:7" x14ac:dyDescent="0.25">
      <c r="A59" s="1">
        <v>8</v>
      </c>
      <c r="B59" s="1" t="s">
        <v>13</v>
      </c>
      <c r="C59" s="1" t="s">
        <v>44</v>
      </c>
      <c r="D59" s="1">
        <v>1996</v>
      </c>
      <c r="E59" s="1" t="s">
        <v>15</v>
      </c>
      <c r="F59" s="1">
        <v>74</v>
      </c>
      <c r="G59" s="3">
        <v>1313.8199979999999</v>
      </c>
    </row>
    <row r="60" spans="1:7" x14ac:dyDescent="0.25">
      <c r="A60" s="1">
        <v>3</v>
      </c>
      <c r="B60" s="1" t="s">
        <v>10</v>
      </c>
      <c r="C60" s="1" t="s">
        <v>45</v>
      </c>
      <c r="D60" s="1">
        <v>1996</v>
      </c>
      <c r="E60" s="1" t="s">
        <v>23</v>
      </c>
      <c r="F60" s="1">
        <v>10</v>
      </c>
      <c r="G60" s="3">
        <v>144</v>
      </c>
    </row>
    <row r="61" spans="1:7" x14ac:dyDescent="0.25">
      <c r="A61" s="1">
        <v>8</v>
      </c>
      <c r="B61" s="1" t="s">
        <v>13</v>
      </c>
      <c r="C61" s="1" t="s">
        <v>45</v>
      </c>
      <c r="D61" s="1">
        <v>1996</v>
      </c>
      <c r="E61" s="1" t="s">
        <v>23</v>
      </c>
      <c r="F61" s="1">
        <v>26</v>
      </c>
      <c r="G61" s="3">
        <v>240.4</v>
      </c>
    </row>
    <row r="62" spans="1:7" x14ac:dyDescent="0.25">
      <c r="A62" s="1">
        <v>4</v>
      </c>
      <c r="B62" s="1" t="s">
        <v>19</v>
      </c>
      <c r="C62" s="1" t="s">
        <v>45</v>
      </c>
      <c r="D62" s="1">
        <v>1996</v>
      </c>
      <c r="E62" s="1" t="s">
        <v>9</v>
      </c>
      <c r="F62" s="1">
        <v>44</v>
      </c>
      <c r="G62" s="3">
        <v>516.79999999999995</v>
      </c>
    </row>
    <row r="63" spans="1:7" x14ac:dyDescent="0.25">
      <c r="A63" s="1">
        <v>1</v>
      </c>
      <c r="B63" s="1" t="s">
        <v>19</v>
      </c>
      <c r="C63" s="1" t="s">
        <v>46</v>
      </c>
      <c r="D63" s="1">
        <v>1996</v>
      </c>
      <c r="E63" s="1" t="s">
        <v>23</v>
      </c>
      <c r="F63" s="1">
        <v>71</v>
      </c>
      <c r="G63" s="3">
        <v>1497</v>
      </c>
    </row>
    <row r="64" spans="1:7" x14ac:dyDescent="0.25">
      <c r="A64" s="1">
        <v>4</v>
      </c>
      <c r="B64" s="1" t="s">
        <v>19</v>
      </c>
      <c r="C64" s="1" t="s">
        <v>46</v>
      </c>
      <c r="D64" s="1">
        <v>1996</v>
      </c>
      <c r="E64" s="1" t="s">
        <v>23</v>
      </c>
      <c r="F64" s="1">
        <v>13</v>
      </c>
      <c r="G64" s="3">
        <v>164.4</v>
      </c>
    </row>
    <row r="65" spans="1:7" x14ac:dyDescent="0.25">
      <c r="A65" s="1">
        <v>6</v>
      </c>
      <c r="B65" s="1" t="s">
        <v>7</v>
      </c>
      <c r="C65" s="1" t="s">
        <v>47</v>
      </c>
      <c r="D65" s="1">
        <v>1996</v>
      </c>
      <c r="E65" s="1" t="s">
        <v>9</v>
      </c>
      <c r="F65" s="1">
        <v>57</v>
      </c>
      <c r="G65" s="3">
        <v>1050.5999999999999</v>
      </c>
    </row>
    <row r="66" spans="1:7" x14ac:dyDescent="0.25">
      <c r="A66" s="1">
        <v>3</v>
      </c>
      <c r="B66" s="1" t="s">
        <v>10</v>
      </c>
      <c r="C66" s="1" t="s">
        <v>47</v>
      </c>
      <c r="D66" s="1">
        <v>1996</v>
      </c>
      <c r="E66" s="1" t="s">
        <v>23</v>
      </c>
      <c r="F66" s="1">
        <v>75</v>
      </c>
      <c r="G66" s="3">
        <v>1648.999988</v>
      </c>
    </row>
    <row r="67" spans="1:7" x14ac:dyDescent="0.25">
      <c r="A67" s="1">
        <v>3</v>
      </c>
      <c r="B67" s="1" t="s">
        <v>10</v>
      </c>
      <c r="C67" s="1" t="s">
        <v>47</v>
      </c>
      <c r="D67" s="1">
        <v>1996</v>
      </c>
      <c r="E67" s="1" t="s">
        <v>17</v>
      </c>
      <c r="F67" s="1">
        <v>76</v>
      </c>
      <c r="G67" s="3">
        <v>1414.8</v>
      </c>
    </row>
    <row r="68" spans="1:7" x14ac:dyDescent="0.25">
      <c r="A68" s="1">
        <v>3</v>
      </c>
      <c r="B68" s="1" t="s">
        <v>10</v>
      </c>
      <c r="C68" s="1" t="s">
        <v>47</v>
      </c>
      <c r="D68" s="1">
        <v>1996</v>
      </c>
      <c r="E68" s="1" t="s">
        <v>15</v>
      </c>
      <c r="F68" s="1">
        <v>14</v>
      </c>
      <c r="G68" s="3">
        <v>112</v>
      </c>
    </row>
    <row r="69" spans="1:7" x14ac:dyDescent="0.25">
      <c r="A69" s="1">
        <v>1</v>
      </c>
      <c r="B69" s="1" t="s">
        <v>19</v>
      </c>
      <c r="C69" s="1" t="s">
        <v>47</v>
      </c>
      <c r="D69" s="1">
        <v>1996</v>
      </c>
      <c r="E69" s="1" t="s">
        <v>12</v>
      </c>
      <c r="F69" s="1">
        <v>54</v>
      </c>
      <c r="G69" s="3">
        <v>1167.679997</v>
      </c>
    </row>
    <row r="70" spans="1:7" x14ac:dyDescent="0.25">
      <c r="A70" s="1">
        <v>1</v>
      </c>
      <c r="B70" s="1" t="s">
        <v>19</v>
      </c>
      <c r="C70" s="1" t="s">
        <v>48</v>
      </c>
      <c r="D70" s="1">
        <v>1996</v>
      </c>
      <c r="E70" s="1" t="s">
        <v>15</v>
      </c>
      <c r="F70" s="1">
        <v>6</v>
      </c>
      <c r="G70" s="3">
        <v>72.959999730000007</v>
      </c>
    </row>
    <row r="71" spans="1:7" x14ac:dyDescent="0.25">
      <c r="A71" s="1">
        <v>5</v>
      </c>
      <c r="B71" s="1" t="s">
        <v>19</v>
      </c>
      <c r="C71" s="1" t="s">
        <v>48</v>
      </c>
      <c r="D71" s="1">
        <v>1996</v>
      </c>
      <c r="E71" s="1" t="s">
        <v>12</v>
      </c>
      <c r="F71" s="1">
        <v>40</v>
      </c>
      <c r="G71" s="3">
        <v>429.39999970000002</v>
      </c>
    </row>
    <row r="72" spans="1:7" x14ac:dyDescent="0.25">
      <c r="A72" s="1">
        <v>6</v>
      </c>
      <c r="B72" s="1" t="s">
        <v>7</v>
      </c>
      <c r="C72" s="1" t="s">
        <v>48</v>
      </c>
      <c r="D72" s="1">
        <v>1996</v>
      </c>
      <c r="E72" s="1" t="s">
        <v>12</v>
      </c>
      <c r="F72" s="1">
        <v>33</v>
      </c>
      <c r="G72" s="3">
        <v>642.05999889999998</v>
      </c>
    </row>
    <row r="73" spans="1:7" x14ac:dyDescent="0.25">
      <c r="A73" s="1">
        <v>8</v>
      </c>
      <c r="B73" s="1" t="s">
        <v>13</v>
      </c>
      <c r="C73" s="1" t="s">
        <v>49</v>
      </c>
      <c r="D73" s="1">
        <v>1996</v>
      </c>
      <c r="E73" s="1" t="s">
        <v>17</v>
      </c>
      <c r="F73" s="1">
        <v>15</v>
      </c>
      <c r="G73" s="3">
        <v>351</v>
      </c>
    </row>
    <row r="74" spans="1:7" x14ac:dyDescent="0.25">
      <c r="A74" s="1">
        <v>4</v>
      </c>
      <c r="B74" s="1" t="s">
        <v>19</v>
      </c>
      <c r="C74" s="1" t="s">
        <v>49</v>
      </c>
      <c r="D74" s="1">
        <v>1996</v>
      </c>
      <c r="E74" s="1" t="s">
        <v>23</v>
      </c>
      <c r="F74" s="1">
        <v>69</v>
      </c>
      <c r="G74" s="3">
        <v>1584</v>
      </c>
    </row>
    <row r="75" spans="1:7" x14ac:dyDescent="0.25">
      <c r="A75" s="1">
        <v>4</v>
      </c>
      <c r="B75" s="1" t="s">
        <v>19</v>
      </c>
      <c r="C75" s="1" t="s">
        <v>49</v>
      </c>
      <c r="D75" s="1">
        <v>1996</v>
      </c>
      <c r="E75" s="1" t="s">
        <v>17</v>
      </c>
      <c r="F75" s="1">
        <v>61</v>
      </c>
      <c r="G75" s="3">
        <v>1170.375</v>
      </c>
    </row>
    <row r="76" spans="1:7" x14ac:dyDescent="0.25">
      <c r="A76" s="1">
        <v>6</v>
      </c>
      <c r="B76" s="1" t="s">
        <v>7</v>
      </c>
      <c r="C76" s="1" t="s">
        <v>50</v>
      </c>
      <c r="D76" s="1">
        <v>1996</v>
      </c>
      <c r="E76" s="1" t="s">
        <v>9</v>
      </c>
      <c r="F76" s="1">
        <v>20</v>
      </c>
      <c r="G76" s="3">
        <v>288</v>
      </c>
    </row>
    <row r="77" spans="1:7" x14ac:dyDescent="0.25">
      <c r="A77" s="1">
        <v>2</v>
      </c>
      <c r="B77" s="1" t="s">
        <v>19</v>
      </c>
      <c r="C77" s="1" t="s">
        <v>50</v>
      </c>
      <c r="D77" s="1">
        <v>1996</v>
      </c>
      <c r="E77" s="1" t="s">
        <v>9</v>
      </c>
      <c r="F77" s="1">
        <v>13</v>
      </c>
      <c r="G77" s="3">
        <v>424</v>
      </c>
    </row>
    <row r="78" spans="1:7" x14ac:dyDescent="0.25">
      <c r="A78" s="1">
        <v>2</v>
      </c>
      <c r="B78" s="1" t="s">
        <v>19</v>
      </c>
      <c r="C78" s="1" t="s">
        <v>51</v>
      </c>
      <c r="D78" s="1">
        <v>1996</v>
      </c>
      <c r="E78" s="1" t="s">
        <v>9</v>
      </c>
      <c r="F78" s="1">
        <v>50</v>
      </c>
      <c r="G78" s="3">
        <v>608</v>
      </c>
    </row>
    <row r="79" spans="1:7" x14ac:dyDescent="0.25">
      <c r="A79" s="1">
        <v>1</v>
      </c>
      <c r="B79" s="1" t="s">
        <v>19</v>
      </c>
      <c r="C79" s="1" t="s">
        <v>51</v>
      </c>
      <c r="D79" s="1">
        <v>1996</v>
      </c>
      <c r="E79" s="1" t="s">
        <v>17</v>
      </c>
      <c r="F79" s="1">
        <v>18</v>
      </c>
      <c r="G79" s="3">
        <v>291.83999979999999</v>
      </c>
    </row>
    <row r="80" spans="1:7" x14ac:dyDescent="0.25">
      <c r="A80" s="1">
        <v>2</v>
      </c>
      <c r="B80" s="1" t="s">
        <v>19</v>
      </c>
      <c r="C80" s="1" t="s">
        <v>52</v>
      </c>
      <c r="D80" s="1">
        <v>1996</v>
      </c>
      <c r="E80" s="1" t="s">
        <v>17</v>
      </c>
      <c r="F80" s="1">
        <v>32</v>
      </c>
      <c r="G80" s="3">
        <v>1200.8</v>
      </c>
    </row>
    <row r="81" spans="1:7" x14ac:dyDescent="0.25">
      <c r="A81" s="1">
        <v>2</v>
      </c>
      <c r="B81" s="1" t="s">
        <v>19</v>
      </c>
      <c r="C81" s="1" t="s">
        <v>53</v>
      </c>
      <c r="D81" s="1">
        <v>1996</v>
      </c>
      <c r="E81" s="1" t="s">
        <v>23</v>
      </c>
      <c r="F81" s="1">
        <v>108</v>
      </c>
      <c r="G81" s="3">
        <v>3353.9999979999998</v>
      </c>
    </row>
    <row r="82" spans="1:7" x14ac:dyDescent="0.25">
      <c r="A82" s="1">
        <v>3</v>
      </c>
      <c r="B82" s="1" t="s">
        <v>10</v>
      </c>
      <c r="C82" s="1" t="s">
        <v>53</v>
      </c>
      <c r="D82" s="1">
        <v>1996</v>
      </c>
      <c r="E82" s="1" t="s">
        <v>23</v>
      </c>
      <c r="F82" s="1">
        <v>66</v>
      </c>
      <c r="G82" s="3">
        <v>1786.879993</v>
      </c>
    </row>
    <row r="83" spans="1:7" x14ac:dyDescent="0.25">
      <c r="A83" s="1">
        <v>1</v>
      </c>
      <c r="B83" s="1" t="s">
        <v>19</v>
      </c>
      <c r="C83" s="1" t="s">
        <v>53</v>
      </c>
      <c r="D83" s="1">
        <v>1996</v>
      </c>
      <c r="E83" s="1" t="s">
        <v>15</v>
      </c>
      <c r="F83" s="1">
        <v>42</v>
      </c>
      <c r="G83" s="3">
        <v>398.99999969999999</v>
      </c>
    </row>
    <row r="84" spans="1:7" x14ac:dyDescent="0.25">
      <c r="A84" s="1">
        <v>4</v>
      </c>
      <c r="B84" s="1" t="s">
        <v>19</v>
      </c>
      <c r="C84" s="1" t="s">
        <v>54</v>
      </c>
      <c r="D84" s="1">
        <v>1996</v>
      </c>
      <c r="E84" s="1" t="s">
        <v>23</v>
      </c>
      <c r="F84" s="1">
        <v>35</v>
      </c>
      <c r="G84" s="3">
        <v>934.5</v>
      </c>
    </row>
    <row r="85" spans="1:7" x14ac:dyDescent="0.25">
      <c r="A85" s="1">
        <v>8</v>
      </c>
      <c r="B85" s="1" t="s">
        <v>13</v>
      </c>
      <c r="C85" s="1" t="s">
        <v>54</v>
      </c>
      <c r="D85" s="1">
        <v>1996</v>
      </c>
      <c r="E85" s="1" t="s">
        <v>9</v>
      </c>
      <c r="F85" s="1">
        <v>80</v>
      </c>
      <c r="G85" s="3">
        <v>3741.299994</v>
      </c>
    </row>
    <row r="86" spans="1:7" x14ac:dyDescent="0.25">
      <c r="A86" s="1">
        <v>4</v>
      </c>
      <c r="B86" s="1" t="s">
        <v>19</v>
      </c>
      <c r="C86" s="1" t="s">
        <v>55</v>
      </c>
      <c r="D86" s="1">
        <v>1996</v>
      </c>
      <c r="E86" s="1" t="s">
        <v>21</v>
      </c>
      <c r="F86" s="1">
        <v>102</v>
      </c>
      <c r="G86" s="3">
        <v>1504.65</v>
      </c>
    </row>
    <row r="87" spans="1:7" x14ac:dyDescent="0.25">
      <c r="A87" s="1">
        <v>8</v>
      </c>
      <c r="B87" s="1" t="s">
        <v>13</v>
      </c>
      <c r="C87" s="1" t="s">
        <v>56</v>
      </c>
      <c r="D87" s="1">
        <v>1996</v>
      </c>
      <c r="E87" s="1" t="s">
        <v>12</v>
      </c>
      <c r="F87" s="1">
        <v>16</v>
      </c>
      <c r="G87" s="3">
        <v>568.79999999999995</v>
      </c>
    </row>
    <row r="88" spans="1:7" x14ac:dyDescent="0.25">
      <c r="A88" s="1">
        <v>7</v>
      </c>
      <c r="B88" s="1" t="s">
        <v>7</v>
      </c>
      <c r="C88" s="1" t="s">
        <v>56</v>
      </c>
      <c r="D88" s="1">
        <v>1996</v>
      </c>
      <c r="E88" s="1" t="s">
        <v>23</v>
      </c>
      <c r="F88" s="1">
        <v>20</v>
      </c>
      <c r="G88" s="3">
        <v>112</v>
      </c>
    </row>
    <row r="89" spans="1:7" x14ac:dyDescent="0.25">
      <c r="A89" s="1">
        <v>7</v>
      </c>
      <c r="B89" s="1" t="s">
        <v>7</v>
      </c>
      <c r="C89" s="1" t="s">
        <v>57</v>
      </c>
      <c r="D89" s="1">
        <v>1996</v>
      </c>
      <c r="E89" s="1" t="s">
        <v>12</v>
      </c>
      <c r="F89" s="1">
        <v>62</v>
      </c>
      <c r="G89" s="3">
        <v>8593.2799680000007</v>
      </c>
    </row>
    <row r="90" spans="1:7" x14ac:dyDescent="0.25">
      <c r="A90" s="1">
        <v>2</v>
      </c>
      <c r="B90" s="1" t="s">
        <v>19</v>
      </c>
      <c r="C90" s="1" t="s">
        <v>57</v>
      </c>
      <c r="D90" s="1">
        <v>1996</v>
      </c>
      <c r="E90" s="1" t="s">
        <v>15</v>
      </c>
      <c r="F90" s="1">
        <v>50</v>
      </c>
      <c r="G90" s="3">
        <v>1440</v>
      </c>
    </row>
    <row r="91" spans="1:7" x14ac:dyDescent="0.25">
      <c r="A91" s="1">
        <v>7</v>
      </c>
      <c r="B91" s="1" t="s">
        <v>7</v>
      </c>
      <c r="C91" s="1" t="s">
        <v>58</v>
      </c>
      <c r="D91" s="1">
        <v>1996</v>
      </c>
      <c r="E91" s="1" t="s">
        <v>23</v>
      </c>
      <c r="F91" s="1">
        <v>18</v>
      </c>
      <c r="G91" s="3">
        <v>285.11999950000001</v>
      </c>
    </row>
    <row r="92" spans="1:7" x14ac:dyDescent="0.25">
      <c r="A92" s="1">
        <v>5</v>
      </c>
      <c r="B92" s="1" t="s">
        <v>19</v>
      </c>
      <c r="C92" s="1" t="s">
        <v>58</v>
      </c>
      <c r="D92" s="1">
        <v>1996</v>
      </c>
      <c r="E92" s="1" t="s">
        <v>15</v>
      </c>
      <c r="F92" s="1">
        <v>28</v>
      </c>
      <c r="G92" s="3">
        <v>716.71999500000004</v>
      </c>
    </row>
    <row r="93" spans="1:7" x14ac:dyDescent="0.25">
      <c r="A93" s="1">
        <v>3</v>
      </c>
      <c r="B93" s="1" t="s">
        <v>10</v>
      </c>
      <c r="C93" s="1" t="s">
        <v>59</v>
      </c>
      <c r="D93" s="1">
        <v>1996</v>
      </c>
      <c r="E93" s="1" t="s">
        <v>17</v>
      </c>
      <c r="F93" s="1">
        <v>152</v>
      </c>
      <c r="G93" s="3">
        <v>2037.279998</v>
      </c>
    </row>
    <row r="94" spans="1:7" x14ac:dyDescent="0.25">
      <c r="A94" s="1">
        <v>1</v>
      </c>
      <c r="B94" s="1" t="s">
        <v>19</v>
      </c>
      <c r="C94" s="1" t="s">
        <v>59</v>
      </c>
      <c r="D94" s="1">
        <v>1996</v>
      </c>
      <c r="E94" s="1" t="s">
        <v>12</v>
      </c>
      <c r="F94" s="1">
        <v>109</v>
      </c>
      <c r="G94" s="3">
        <v>2046.2399969999999</v>
      </c>
    </row>
    <row r="95" spans="1:7" x14ac:dyDescent="0.25">
      <c r="A95" s="1">
        <v>2</v>
      </c>
      <c r="B95" s="1" t="s">
        <v>19</v>
      </c>
      <c r="C95" s="1" t="s">
        <v>59</v>
      </c>
      <c r="D95" s="1">
        <v>1996</v>
      </c>
      <c r="E95" s="1" t="s">
        <v>12</v>
      </c>
      <c r="F95" s="1">
        <v>159</v>
      </c>
      <c r="G95" s="3">
        <v>2924.8</v>
      </c>
    </row>
    <row r="96" spans="1:7" x14ac:dyDescent="0.25">
      <c r="A96" s="1">
        <v>8</v>
      </c>
      <c r="B96" s="1" t="s">
        <v>13</v>
      </c>
      <c r="C96" s="1" t="s">
        <v>59</v>
      </c>
      <c r="D96" s="1">
        <v>1996</v>
      </c>
      <c r="E96" s="1" t="s">
        <v>17</v>
      </c>
      <c r="F96" s="1">
        <v>140</v>
      </c>
      <c r="G96" s="3">
        <v>3016</v>
      </c>
    </row>
    <row r="97" spans="1:7" x14ac:dyDescent="0.25">
      <c r="A97" s="1">
        <v>1</v>
      </c>
      <c r="B97" s="1" t="s">
        <v>19</v>
      </c>
      <c r="C97" s="1" t="s">
        <v>59</v>
      </c>
      <c r="D97" s="1">
        <v>1996</v>
      </c>
      <c r="E97" s="1" t="s">
        <v>17</v>
      </c>
      <c r="F97" s="1">
        <v>121</v>
      </c>
      <c r="G97" s="3">
        <v>1743.3599939999999</v>
      </c>
    </row>
    <row r="98" spans="1:7" x14ac:dyDescent="0.25">
      <c r="A98" s="1">
        <v>2</v>
      </c>
      <c r="B98" s="1" t="s">
        <v>19</v>
      </c>
      <c r="C98" s="1" t="s">
        <v>59</v>
      </c>
      <c r="D98" s="1">
        <v>1996</v>
      </c>
      <c r="E98" s="1" t="s">
        <v>9</v>
      </c>
      <c r="F98" s="1">
        <v>12</v>
      </c>
      <c r="G98" s="3">
        <v>182.4</v>
      </c>
    </row>
    <row r="99" spans="1:7" x14ac:dyDescent="0.25">
      <c r="A99" s="1">
        <v>6</v>
      </c>
      <c r="B99" s="1" t="s">
        <v>7</v>
      </c>
      <c r="C99" s="1" t="s">
        <v>60</v>
      </c>
      <c r="D99" s="1">
        <v>1996</v>
      </c>
      <c r="E99" s="1" t="s">
        <v>17</v>
      </c>
      <c r="F99" s="1">
        <v>46</v>
      </c>
      <c r="G99" s="3">
        <v>497.51999919999997</v>
      </c>
    </row>
    <row r="100" spans="1:7" x14ac:dyDescent="0.25">
      <c r="A100" s="1">
        <v>4</v>
      </c>
      <c r="B100" s="1" t="s">
        <v>19</v>
      </c>
      <c r="C100" s="1" t="s">
        <v>60</v>
      </c>
      <c r="D100" s="1">
        <v>1996</v>
      </c>
      <c r="E100" s="1" t="s">
        <v>21</v>
      </c>
      <c r="F100" s="1">
        <v>40</v>
      </c>
      <c r="G100" s="3">
        <v>448</v>
      </c>
    </row>
    <row r="101" spans="1:7" x14ac:dyDescent="0.25">
      <c r="A101" s="1">
        <v>2</v>
      </c>
      <c r="B101" s="1" t="s">
        <v>19</v>
      </c>
      <c r="C101" s="1" t="s">
        <v>60</v>
      </c>
      <c r="D101" s="1">
        <v>1996</v>
      </c>
      <c r="E101" s="1" t="s">
        <v>15</v>
      </c>
      <c r="F101" s="1">
        <v>44</v>
      </c>
      <c r="G101" s="3">
        <v>863.2799986</v>
      </c>
    </row>
    <row r="102" spans="1:7" x14ac:dyDescent="0.25">
      <c r="A102" s="1">
        <v>5</v>
      </c>
      <c r="B102" s="1" t="s">
        <v>19</v>
      </c>
      <c r="C102" s="1" t="s">
        <v>61</v>
      </c>
      <c r="D102" s="1">
        <v>1996</v>
      </c>
      <c r="E102" s="1" t="s">
        <v>15</v>
      </c>
      <c r="F102" s="1">
        <v>164</v>
      </c>
      <c r="G102" s="3">
        <v>9210.9</v>
      </c>
    </row>
    <row r="103" spans="1:7" x14ac:dyDescent="0.25">
      <c r="A103" s="1">
        <v>6</v>
      </c>
      <c r="B103" s="1" t="s">
        <v>7</v>
      </c>
      <c r="C103" s="1" t="s">
        <v>62</v>
      </c>
      <c r="D103" s="1">
        <v>1996</v>
      </c>
      <c r="E103" s="1" t="s">
        <v>17</v>
      </c>
      <c r="F103" s="1">
        <v>70</v>
      </c>
      <c r="G103" s="3">
        <v>1456</v>
      </c>
    </row>
    <row r="104" spans="1:7" x14ac:dyDescent="0.25">
      <c r="A104" s="1">
        <v>3</v>
      </c>
      <c r="B104" s="1" t="s">
        <v>10</v>
      </c>
      <c r="C104" s="1" t="s">
        <v>62</v>
      </c>
      <c r="D104" s="1">
        <v>1996</v>
      </c>
      <c r="E104" s="1" t="s">
        <v>12</v>
      </c>
      <c r="F104" s="1">
        <v>56</v>
      </c>
      <c r="G104" s="3">
        <v>1618.8799979999999</v>
      </c>
    </row>
    <row r="105" spans="1:7" x14ac:dyDescent="0.25">
      <c r="A105" s="1">
        <v>4</v>
      </c>
      <c r="B105" s="1" t="s">
        <v>19</v>
      </c>
      <c r="C105" s="1" t="s">
        <v>62</v>
      </c>
      <c r="D105" s="1">
        <v>1996</v>
      </c>
      <c r="E105" s="1" t="s">
        <v>17</v>
      </c>
      <c r="F105" s="1">
        <v>75</v>
      </c>
      <c r="G105" s="3">
        <v>1887.6</v>
      </c>
    </row>
    <row r="106" spans="1:7" x14ac:dyDescent="0.25">
      <c r="A106" s="1">
        <v>8</v>
      </c>
      <c r="B106" s="1" t="s">
        <v>13</v>
      </c>
      <c r="C106" s="1" t="s">
        <v>62</v>
      </c>
      <c r="D106" s="1">
        <v>1996</v>
      </c>
      <c r="E106" s="1" t="s">
        <v>21</v>
      </c>
      <c r="F106" s="1">
        <v>29</v>
      </c>
      <c r="G106" s="3">
        <v>583.99999939999998</v>
      </c>
    </row>
    <row r="107" spans="1:7" x14ac:dyDescent="0.25">
      <c r="A107" s="1">
        <v>1</v>
      </c>
      <c r="B107" s="1" t="s">
        <v>19</v>
      </c>
      <c r="C107" s="1" t="s">
        <v>62</v>
      </c>
      <c r="D107" s="1">
        <v>1996</v>
      </c>
      <c r="E107" s="1" t="s">
        <v>9</v>
      </c>
      <c r="F107" s="1">
        <v>175</v>
      </c>
      <c r="G107" s="3">
        <v>4929.2999970000001</v>
      </c>
    </row>
    <row r="108" spans="1:7" x14ac:dyDescent="0.25">
      <c r="A108" s="1">
        <v>4</v>
      </c>
      <c r="B108" s="1" t="s">
        <v>19</v>
      </c>
      <c r="C108" s="1" t="s">
        <v>63</v>
      </c>
      <c r="D108" s="1">
        <v>1996</v>
      </c>
      <c r="E108" s="1" t="s">
        <v>17</v>
      </c>
      <c r="F108" s="1">
        <v>13</v>
      </c>
      <c r="G108" s="3">
        <v>80.099999870000005</v>
      </c>
    </row>
    <row r="109" spans="1:7" x14ac:dyDescent="0.25">
      <c r="A109" s="1">
        <v>4</v>
      </c>
      <c r="B109" s="1" t="s">
        <v>19</v>
      </c>
      <c r="C109" s="1" t="s">
        <v>64</v>
      </c>
      <c r="D109" s="1">
        <v>1996</v>
      </c>
      <c r="E109" s="1" t="s">
        <v>9</v>
      </c>
      <c r="F109" s="1">
        <v>35</v>
      </c>
      <c r="G109" s="3">
        <v>349.5</v>
      </c>
    </row>
    <row r="110" spans="1:7" x14ac:dyDescent="0.25">
      <c r="A110" s="1">
        <v>8</v>
      </c>
      <c r="B110" s="1" t="s">
        <v>13</v>
      </c>
      <c r="C110" s="1" t="s">
        <v>64</v>
      </c>
      <c r="D110" s="1">
        <v>1996</v>
      </c>
      <c r="E110" s="1" t="s">
        <v>17</v>
      </c>
      <c r="F110" s="1">
        <v>75</v>
      </c>
      <c r="G110" s="3">
        <v>818.99999579999997</v>
      </c>
    </row>
    <row r="111" spans="1:7" x14ac:dyDescent="0.25">
      <c r="A111" s="1">
        <v>9</v>
      </c>
      <c r="B111" s="1" t="s">
        <v>13</v>
      </c>
      <c r="C111" s="1" t="s">
        <v>65</v>
      </c>
      <c r="D111" s="1">
        <v>1996</v>
      </c>
      <c r="E111" s="1" t="s">
        <v>21</v>
      </c>
      <c r="F111" s="1">
        <v>110</v>
      </c>
      <c r="G111" s="3">
        <v>2490.5</v>
      </c>
    </row>
    <row r="112" spans="1:7" x14ac:dyDescent="0.25">
      <c r="A112" s="1">
        <v>4</v>
      </c>
      <c r="B112" s="1" t="s">
        <v>19</v>
      </c>
      <c r="C112" s="1" t="s">
        <v>66</v>
      </c>
      <c r="D112" s="1">
        <v>1996</v>
      </c>
      <c r="E112" s="1" t="s">
        <v>17</v>
      </c>
      <c r="F112" s="1">
        <v>19</v>
      </c>
      <c r="G112" s="3">
        <v>241.9</v>
      </c>
    </row>
    <row r="113" spans="1:7" x14ac:dyDescent="0.25">
      <c r="A113" s="1">
        <v>1</v>
      </c>
      <c r="B113" s="1" t="s">
        <v>19</v>
      </c>
      <c r="C113" s="1" t="s">
        <v>66</v>
      </c>
      <c r="D113" s="1">
        <v>1996</v>
      </c>
      <c r="E113" s="1" t="s">
        <v>9</v>
      </c>
      <c r="F113" s="1">
        <v>25</v>
      </c>
      <c r="G113" s="3">
        <v>498.5</v>
      </c>
    </row>
    <row r="114" spans="1:7" x14ac:dyDescent="0.25">
      <c r="A114" s="1">
        <v>1</v>
      </c>
      <c r="B114" s="1" t="s">
        <v>19</v>
      </c>
      <c r="C114" s="1" t="s">
        <v>67</v>
      </c>
      <c r="D114" s="1">
        <v>1996</v>
      </c>
      <c r="E114" s="1" t="s">
        <v>15</v>
      </c>
      <c r="F114" s="1">
        <v>48</v>
      </c>
      <c r="G114" s="3">
        <v>1058.4000000000001</v>
      </c>
    </row>
    <row r="115" spans="1:7" x14ac:dyDescent="0.25">
      <c r="A115" s="1">
        <v>9</v>
      </c>
      <c r="B115" s="1" t="s">
        <v>13</v>
      </c>
      <c r="C115" s="1" t="s">
        <v>68</v>
      </c>
      <c r="D115" s="1">
        <v>1996</v>
      </c>
      <c r="E115" s="1" t="s">
        <v>23</v>
      </c>
      <c r="F115" s="1">
        <v>241</v>
      </c>
      <c r="G115" s="3">
        <v>5275.7149650000001</v>
      </c>
    </row>
    <row r="116" spans="1:7" x14ac:dyDescent="0.25">
      <c r="A116" s="1">
        <v>2</v>
      </c>
      <c r="B116" s="1" t="s">
        <v>19</v>
      </c>
      <c r="C116" s="1" t="s">
        <v>68</v>
      </c>
      <c r="D116" s="1">
        <v>1996</v>
      </c>
      <c r="E116" s="1" t="s">
        <v>15</v>
      </c>
      <c r="F116" s="1">
        <v>150</v>
      </c>
      <c r="G116" s="3">
        <v>2505.5999969999998</v>
      </c>
    </row>
    <row r="117" spans="1:7" x14ac:dyDescent="0.25">
      <c r="A117" s="1">
        <v>1</v>
      </c>
      <c r="B117" s="1" t="s">
        <v>19</v>
      </c>
      <c r="C117" s="1" t="s">
        <v>68</v>
      </c>
      <c r="D117" s="1">
        <v>1996</v>
      </c>
      <c r="E117" s="1" t="s">
        <v>15</v>
      </c>
      <c r="F117" s="1">
        <v>176</v>
      </c>
      <c r="G117" s="3">
        <v>2556.9499999999998</v>
      </c>
    </row>
    <row r="118" spans="1:7" x14ac:dyDescent="0.25">
      <c r="A118" s="1">
        <v>5</v>
      </c>
      <c r="B118" s="1" t="s">
        <v>19</v>
      </c>
      <c r="C118" s="1" t="s">
        <v>69</v>
      </c>
      <c r="D118" s="1">
        <v>1996</v>
      </c>
      <c r="E118" s="1" t="s">
        <v>12</v>
      </c>
      <c r="F118" s="1">
        <v>206</v>
      </c>
      <c r="G118" s="3">
        <v>3471.6799970000002</v>
      </c>
    </row>
    <row r="119" spans="1:7" x14ac:dyDescent="0.25">
      <c r="A119" s="1">
        <v>2</v>
      </c>
      <c r="B119" s="1" t="s">
        <v>19</v>
      </c>
      <c r="C119" s="1" t="s">
        <v>69</v>
      </c>
      <c r="D119" s="1">
        <v>1996</v>
      </c>
      <c r="E119" s="1" t="s">
        <v>15</v>
      </c>
      <c r="F119" s="1">
        <v>75</v>
      </c>
      <c r="G119" s="3">
        <v>1228.7999990000001</v>
      </c>
    </row>
    <row r="120" spans="1:7" x14ac:dyDescent="0.25">
      <c r="A120" s="1">
        <v>1</v>
      </c>
      <c r="B120" s="1" t="s">
        <v>19</v>
      </c>
      <c r="C120" s="1" t="s">
        <v>69</v>
      </c>
      <c r="D120" s="1">
        <v>1996</v>
      </c>
      <c r="E120" s="1" t="s">
        <v>15</v>
      </c>
      <c r="F120" s="1">
        <v>40</v>
      </c>
      <c r="G120" s="3">
        <v>863.59999389999996</v>
      </c>
    </row>
    <row r="121" spans="1:7" x14ac:dyDescent="0.25">
      <c r="A121" s="1">
        <v>7</v>
      </c>
      <c r="B121" s="1" t="s">
        <v>7</v>
      </c>
      <c r="C121" s="1" t="s">
        <v>70</v>
      </c>
      <c r="D121" s="1">
        <v>1996</v>
      </c>
      <c r="E121" s="1" t="s">
        <v>23</v>
      </c>
      <c r="F121" s="1">
        <v>17</v>
      </c>
      <c r="G121" s="3">
        <v>352.59999759999999</v>
      </c>
    </row>
    <row r="122" spans="1:7" x14ac:dyDescent="0.25">
      <c r="A122" s="1">
        <v>6</v>
      </c>
      <c r="B122" s="1" t="s">
        <v>7</v>
      </c>
      <c r="C122" s="1" t="s">
        <v>71</v>
      </c>
      <c r="D122" s="1">
        <v>1996</v>
      </c>
      <c r="E122" s="1" t="s">
        <v>17</v>
      </c>
      <c r="F122" s="1">
        <v>24</v>
      </c>
      <c r="G122" s="3">
        <v>48</v>
      </c>
    </row>
    <row r="123" spans="1:7" x14ac:dyDescent="0.25">
      <c r="A123" s="1">
        <v>8</v>
      </c>
      <c r="B123" s="1" t="s">
        <v>13</v>
      </c>
      <c r="C123" s="1" t="s">
        <v>71</v>
      </c>
      <c r="D123" s="1">
        <v>1996</v>
      </c>
      <c r="E123" s="1" t="s">
        <v>15</v>
      </c>
      <c r="F123" s="1">
        <v>38</v>
      </c>
      <c r="G123" s="3">
        <v>2390.4</v>
      </c>
    </row>
    <row r="124" spans="1:7" x14ac:dyDescent="0.25">
      <c r="A124" s="1">
        <v>7</v>
      </c>
      <c r="B124" s="1" t="s">
        <v>7</v>
      </c>
      <c r="C124" s="1" t="s">
        <v>71</v>
      </c>
      <c r="D124" s="1">
        <v>1996</v>
      </c>
      <c r="E124" s="1" t="s">
        <v>12</v>
      </c>
      <c r="F124" s="1">
        <v>24</v>
      </c>
      <c r="G124" s="3">
        <v>141.6</v>
      </c>
    </row>
    <row r="125" spans="1:7" x14ac:dyDescent="0.25">
      <c r="A125" s="1">
        <v>4</v>
      </c>
      <c r="B125" s="1" t="s">
        <v>19</v>
      </c>
      <c r="C125" s="1" t="s">
        <v>71</v>
      </c>
      <c r="D125" s="1">
        <v>1996</v>
      </c>
      <c r="E125" s="1" t="s">
        <v>23</v>
      </c>
      <c r="F125" s="1">
        <v>50</v>
      </c>
      <c r="G125" s="3">
        <v>4578.4299959999998</v>
      </c>
    </row>
    <row r="126" spans="1:7" x14ac:dyDescent="0.25">
      <c r="A126" s="1">
        <v>1</v>
      </c>
      <c r="B126" s="1" t="s">
        <v>19</v>
      </c>
      <c r="C126" s="1" t="s">
        <v>71</v>
      </c>
      <c r="D126" s="1">
        <v>1996</v>
      </c>
      <c r="E126" s="1" t="s">
        <v>15</v>
      </c>
      <c r="F126" s="1">
        <v>38</v>
      </c>
      <c r="G126" s="3">
        <v>691.19999740000003</v>
      </c>
    </row>
    <row r="127" spans="1:7" x14ac:dyDescent="0.25">
      <c r="A127" s="1">
        <v>4</v>
      </c>
      <c r="B127" s="1" t="s">
        <v>19</v>
      </c>
      <c r="C127" s="1" t="s">
        <v>72</v>
      </c>
      <c r="D127" s="1">
        <v>1996</v>
      </c>
      <c r="E127" s="1" t="s">
        <v>9</v>
      </c>
      <c r="F127" s="1">
        <v>80</v>
      </c>
      <c r="G127" s="3">
        <v>2708.8</v>
      </c>
    </row>
    <row r="128" spans="1:7" x14ac:dyDescent="0.25">
      <c r="A128" s="1">
        <v>4</v>
      </c>
      <c r="B128" s="1" t="s">
        <v>19</v>
      </c>
      <c r="C128" s="1" t="s">
        <v>72</v>
      </c>
      <c r="D128" s="1">
        <v>1996</v>
      </c>
      <c r="E128" s="1" t="s">
        <v>21</v>
      </c>
      <c r="F128" s="1">
        <v>105</v>
      </c>
      <c r="G128" s="3">
        <v>3597.8999979999999</v>
      </c>
    </row>
    <row r="129" spans="1:7" x14ac:dyDescent="0.25">
      <c r="A129" s="1">
        <v>8</v>
      </c>
      <c r="B129" s="1" t="s">
        <v>13</v>
      </c>
      <c r="C129" s="1" t="s">
        <v>73</v>
      </c>
      <c r="D129" s="1">
        <v>1996</v>
      </c>
      <c r="E129" s="1" t="s">
        <v>9</v>
      </c>
      <c r="F129" s="1">
        <v>15</v>
      </c>
      <c r="G129" s="3">
        <v>336</v>
      </c>
    </row>
    <row r="130" spans="1:7" x14ac:dyDescent="0.25">
      <c r="A130" s="1">
        <v>6</v>
      </c>
      <c r="B130" s="1" t="s">
        <v>7</v>
      </c>
      <c r="C130" s="1" t="s">
        <v>74</v>
      </c>
      <c r="D130" s="1">
        <v>1996</v>
      </c>
      <c r="E130" s="1" t="s">
        <v>21</v>
      </c>
      <c r="F130" s="1">
        <v>49</v>
      </c>
      <c r="G130" s="3">
        <v>1863.4</v>
      </c>
    </row>
    <row r="131" spans="1:7" x14ac:dyDescent="0.25">
      <c r="A131" s="1">
        <v>1</v>
      </c>
      <c r="B131" s="1" t="s">
        <v>19</v>
      </c>
      <c r="C131" s="1" t="s">
        <v>75</v>
      </c>
      <c r="D131" s="1">
        <v>1996</v>
      </c>
      <c r="E131" s="1" t="s">
        <v>17</v>
      </c>
      <c r="F131" s="1">
        <v>33</v>
      </c>
      <c r="G131" s="3">
        <v>848.7</v>
      </c>
    </row>
    <row r="132" spans="1:7" x14ac:dyDescent="0.25">
      <c r="A132" s="1">
        <v>7</v>
      </c>
      <c r="B132" s="1" t="s">
        <v>7</v>
      </c>
      <c r="C132" s="1" t="s">
        <v>75</v>
      </c>
      <c r="D132" s="1">
        <v>1996</v>
      </c>
      <c r="E132" s="1" t="s">
        <v>23</v>
      </c>
      <c r="F132" s="1">
        <v>52</v>
      </c>
      <c r="G132" s="3">
        <v>1191.2</v>
      </c>
    </row>
    <row r="133" spans="1:7" x14ac:dyDescent="0.25">
      <c r="A133" s="1">
        <v>8</v>
      </c>
      <c r="B133" s="1" t="s">
        <v>13</v>
      </c>
      <c r="C133" s="1" t="s">
        <v>75</v>
      </c>
      <c r="D133" s="1">
        <v>1996</v>
      </c>
      <c r="E133" s="1" t="s">
        <v>17</v>
      </c>
      <c r="F133" s="1">
        <v>25</v>
      </c>
      <c r="G133" s="3">
        <v>420</v>
      </c>
    </row>
    <row r="134" spans="1:7" x14ac:dyDescent="0.25">
      <c r="A134" s="1">
        <v>1</v>
      </c>
      <c r="B134" s="1" t="s">
        <v>19</v>
      </c>
      <c r="C134" s="1" t="s">
        <v>75</v>
      </c>
      <c r="D134" s="1">
        <v>1996</v>
      </c>
      <c r="E134" s="1" t="s">
        <v>9</v>
      </c>
      <c r="F134" s="1">
        <v>42</v>
      </c>
      <c r="G134" s="3">
        <v>954.4</v>
      </c>
    </row>
    <row r="135" spans="1:7" x14ac:dyDescent="0.25">
      <c r="A135" s="1">
        <v>1</v>
      </c>
      <c r="B135" s="1" t="s">
        <v>19</v>
      </c>
      <c r="C135" s="1" t="s">
        <v>76</v>
      </c>
      <c r="D135" s="1">
        <v>1996</v>
      </c>
      <c r="E135" s="1" t="s">
        <v>17</v>
      </c>
      <c r="F135" s="1">
        <v>20</v>
      </c>
      <c r="G135" s="3">
        <v>1296</v>
      </c>
    </row>
    <row r="136" spans="1:7" x14ac:dyDescent="0.25">
      <c r="A136" s="1">
        <v>7</v>
      </c>
      <c r="B136" s="1" t="s">
        <v>7</v>
      </c>
      <c r="C136" s="1" t="s">
        <v>77</v>
      </c>
      <c r="D136" s="1">
        <v>1996</v>
      </c>
      <c r="E136" s="1" t="s">
        <v>12</v>
      </c>
      <c r="F136" s="1">
        <v>76</v>
      </c>
      <c r="G136" s="3">
        <v>834.2</v>
      </c>
    </row>
    <row r="137" spans="1:7" x14ac:dyDescent="0.25">
      <c r="A137" s="1">
        <v>8</v>
      </c>
      <c r="B137" s="1" t="s">
        <v>13</v>
      </c>
      <c r="C137" s="1" t="s">
        <v>77</v>
      </c>
      <c r="D137" s="1">
        <v>1996</v>
      </c>
      <c r="E137" s="1" t="s">
        <v>15</v>
      </c>
      <c r="F137" s="1">
        <v>139</v>
      </c>
      <c r="G137" s="3">
        <v>1765.6</v>
      </c>
    </row>
    <row r="138" spans="1:7" x14ac:dyDescent="0.25">
      <c r="A138" s="1">
        <v>8</v>
      </c>
      <c r="B138" s="1" t="s">
        <v>13</v>
      </c>
      <c r="C138" s="1" t="s">
        <v>78</v>
      </c>
      <c r="D138" s="1">
        <v>1996</v>
      </c>
      <c r="E138" s="1" t="s">
        <v>23</v>
      </c>
      <c r="F138" s="1">
        <v>18</v>
      </c>
      <c r="G138" s="3">
        <v>144.80000000000001</v>
      </c>
    </row>
    <row r="139" spans="1:7" x14ac:dyDescent="0.25">
      <c r="A139" s="1">
        <v>3</v>
      </c>
      <c r="B139" s="1" t="s">
        <v>10</v>
      </c>
      <c r="C139" s="1" t="s">
        <v>78</v>
      </c>
      <c r="D139" s="1">
        <v>1996</v>
      </c>
      <c r="E139" s="1" t="s">
        <v>21</v>
      </c>
      <c r="F139" s="1">
        <v>41</v>
      </c>
      <c r="G139" s="3">
        <v>654.05999980000001</v>
      </c>
    </row>
    <row r="140" spans="1:7" x14ac:dyDescent="0.25">
      <c r="A140" s="1">
        <v>6</v>
      </c>
      <c r="B140" s="1" t="s">
        <v>7</v>
      </c>
      <c r="C140" s="1" t="s">
        <v>79</v>
      </c>
      <c r="D140" s="1">
        <v>1996</v>
      </c>
      <c r="E140" s="1" t="s">
        <v>17</v>
      </c>
      <c r="F140" s="1">
        <v>27</v>
      </c>
      <c r="G140" s="3">
        <v>538.6</v>
      </c>
    </row>
    <row r="141" spans="1:7" x14ac:dyDescent="0.25">
      <c r="A141" s="1">
        <v>2</v>
      </c>
      <c r="B141" s="1" t="s">
        <v>19</v>
      </c>
      <c r="C141" s="1" t="s">
        <v>79</v>
      </c>
      <c r="D141" s="1">
        <v>1996</v>
      </c>
      <c r="E141" s="1" t="s">
        <v>9</v>
      </c>
      <c r="F141" s="1">
        <v>4</v>
      </c>
      <c r="G141" s="3">
        <v>121.6</v>
      </c>
    </row>
    <row r="142" spans="1:7" x14ac:dyDescent="0.25">
      <c r="A142" s="1">
        <v>5</v>
      </c>
      <c r="B142" s="1" t="s">
        <v>19</v>
      </c>
      <c r="C142" s="1" t="s">
        <v>79</v>
      </c>
      <c r="D142" s="1">
        <v>1996</v>
      </c>
      <c r="E142" s="1" t="s">
        <v>21</v>
      </c>
      <c r="F142" s="1">
        <v>27</v>
      </c>
      <c r="G142" s="3">
        <v>440</v>
      </c>
    </row>
    <row r="143" spans="1:7" x14ac:dyDescent="0.25">
      <c r="A143" s="1">
        <v>1</v>
      </c>
      <c r="B143" s="1" t="s">
        <v>19</v>
      </c>
      <c r="C143" s="1" t="s">
        <v>80</v>
      </c>
      <c r="D143" s="1">
        <v>1996</v>
      </c>
      <c r="E143" s="1" t="s">
        <v>17</v>
      </c>
      <c r="F143" s="1">
        <v>55</v>
      </c>
      <c r="G143" s="3">
        <v>1376</v>
      </c>
    </row>
    <row r="144" spans="1:7" x14ac:dyDescent="0.25">
      <c r="A144" s="1">
        <v>5</v>
      </c>
      <c r="B144" s="1" t="s">
        <v>19</v>
      </c>
      <c r="C144" s="1" t="s">
        <v>80</v>
      </c>
      <c r="D144" s="1">
        <v>1996</v>
      </c>
      <c r="E144" s="1" t="s">
        <v>23</v>
      </c>
      <c r="F144" s="1">
        <v>90</v>
      </c>
      <c r="G144" s="3">
        <v>1393.1999989999999</v>
      </c>
    </row>
    <row r="145" spans="1:7" x14ac:dyDescent="0.25">
      <c r="A145" s="1">
        <v>3</v>
      </c>
      <c r="B145" s="1" t="s">
        <v>10</v>
      </c>
      <c r="C145" s="1" t="s">
        <v>80</v>
      </c>
      <c r="D145" s="1">
        <v>1996</v>
      </c>
      <c r="E145" s="1" t="s">
        <v>21</v>
      </c>
      <c r="F145" s="1">
        <v>12</v>
      </c>
      <c r="G145" s="3">
        <v>346.55999969999999</v>
      </c>
    </row>
    <row r="146" spans="1:7" x14ac:dyDescent="0.25">
      <c r="A146" s="1">
        <v>3</v>
      </c>
      <c r="B146" s="1" t="s">
        <v>10</v>
      </c>
      <c r="C146" s="1" t="s">
        <v>81</v>
      </c>
      <c r="D146" s="1">
        <v>1996</v>
      </c>
      <c r="E146" s="1" t="s">
        <v>21</v>
      </c>
      <c r="F146" s="1">
        <v>27</v>
      </c>
      <c r="G146" s="3">
        <v>517.79999999999995</v>
      </c>
    </row>
    <row r="147" spans="1:7" x14ac:dyDescent="0.25">
      <c r="A147" s="1">
        <v>4</v>
      </c>
      <c r="B147" s="1" t="s">
        <v>19</v>
      </c>
      <c r="C147" s="1" t="s">
        <v>82</v>
      </c>
      <c r="D147" s="1">
        <v>1996</v>
      </c>
      <c r="E147" s="1" t="s">
        <v>12</v>
      </c>
      <c r="F147" s="1">
        <v>105</v>
      </c>
      <c r="G147" s="3">
        <v>2296</v>
      </c>
    </row>
    <row r="148" spans="1:7" x14ac:dyDescent="0.25">
      <c r="A148" s="1">
        <v>5</v>
      </c>
      <c r="B148" s="1" t="s">
        <v>19</v>
      </c>
      <c r="C148" s="1" t="s">
        <v>82</v>
      </c>
      <c r="D148" s="1">
        <v>1996</v>
      </c>
      <c r="E148" s="1" t="s">
        <v>21</v>
      </c>
      <c r="F148" s="1">
        <v>80</v>
      </c>
      <c r="G148" s="3">
        <v>642.19999949999999</v>
      </c>
    </row>
    <row r="149" spans="1:7" x14ac:dyDescent="0.25">
      <c r="A149" s="1">
        <v>1</v>
      </c>
      <c r="B149" s="1" t="s">
        <v>19</v>
      </c>
      <c r="C149" s="1" t="s">
        <v>83</v>
      </c>
      <c r="D149" s="1">
        <v>1996</v>
      </c>
      <c r="E149" s="1" t="s">
        <v>15</v>
      </c>
      <c r="F149" s="1">
        <v>45</v>
      </c>
      <c r="G149" s="3">
        <v>459</v>
      </c>
    </row>
    <row r="150" spans="1:7" x14ac:dyDescent="0.25">
      <c r="A150" s="1">
        <v>4</v>
      </c>
      <c r="B150" s="1" t="s">
        <v>19</v>
      </c>
      <c r="C150" s="1" t="s">
        <v>84</v>
      </c>
      <c r="D150" s="1">
        <v>1997</v>
      </c>
      <c r="E150" s="1" t="s">
        <v>23</v>
      </c>
      <c r="F150" s="1">
        <v>41</v>
      </c>
      <c r="G150" s="3">
        <v>1208</v>
      </c>
    </row>
    <row r="151" spans="1:7" x14ac:dyDescent="0.25">
      <c r="A151" s="1">
        <v>6</v>
      </c>
      <c r="B151" s="1" t="s">
        <v>7</v>
      </c>
      <c r="C151" s="1" t="s">
        <v>84</v>
      </c>
      <c r="D151" s="1">
        <v>1997</v>
      </c>
      <c r="E151" s="1" t="s">
        <v>17</v>
      </c>
      <c r="F151" s="1">
        <v>38</v>
      </c>
      <c r="G151" s="3">
        <v>814.5</v>
      </c>
    </row>
    <row r="152" spans="1:7" x14ac:dyDescent="0.25">
      <c r="A152" s="1">
        <v>3</v>
      </c>
      <c r="B152" s="1" t="s">
        <v>10</v>
      </c>
      <c r="C152" s="1" t="s">
        <v>8</v>
      </c>
      <c r="D152" s="1">
        <v>1997</v>
      </c>
      <c r="E152" s="1" t="s">
        <v>17</v>
      </c>
      <c r="F152" s="1">
        <v>18</v>
      </c>
      <c r="G152" s="3">
        <v>479.75</v>
      </c>
    </row>
    <row r="153" spans="1:7" x14ac:dyDescent="0.25">
      <c r="A153" s="1">
        <v>3</v>
      </c>
      <c r="B153" s="1" t="s">
        <v>10</v>
      </c>
      <c r="C153" s="1" t="s">
        <v>8</v>
      </c>
      <c r="D153" s="1">
        <v>1997</v>
      </c>
      <c r="E153" s="1" t="s">
        <v>12</v>
      </c>
      <c r="F153" s="1">
        <v>10</v>
      </c>
      <c r="G153" s="3">
        <v>320</v>
      </c>
    </row>
    <row r="154" spans="1:7" x14ac:dyDescent="0.25">
      <c r="A154" s="1">
        <v>1</v>
      </c>
      <c r="B154" s="1" t="s">
        <v>19</v>
      </c>
      <c r="C154" s="1" t="s">
        <v>11</v>
      </c>
      <c r="D154" s="1">
        <v>1997</v>
      </c>
      <c r="E154" s="1" t="s">
        <v>9</v>
      </c>
      <c r="F154" s="1">
        <v>38</v>
      </c>
      <c r="G154" s="3">
        <v>813.36499430000003</v>
      </c>
    </row>
    <row r="155" spans="1:7" x14ac:dyDescent="0.25">
      <c r="A155" s="1">
        <v>7</v>
      </c>
      <c r="B155" s="1" t="s">
        <v>7</v>
      </c>
      <c r="C155" s="1" t="s">
        <v>11</v>
      </c>
      <c r="D155" s="1">
        <v>1997</v>
      </c>
      <c r="E155" s="1" t="s">
        <v>85</v>
      </c>
      <c r="F155" s="1">
        <v>30</v>
      </c>
      <c r="G155" s="3">
        <v>749.0624947</v>
      </c>
    </row>
    <row r="156" spans="1:7" x14ac:dyDescent="0.25">
      <c r="A156" s="1">
        <v>7</v>
      </c>
      <c r="B156" s="1" t="s">
        <v>7</v>
      </c>
      <c r="C156" s="1" t="s">
        <v>11</v>
      </c>
      <c r="D156" s="1">
        <v>1997</v>
      </c>
      <c r="E156" s="1" t="s">
        <v>86</v>
      </c>
      <c r="F156" s="1">
        <v>83</v>
      </c>
      <c r="G156" s="3">
        <v>2082</v>
      </c>
    </row>
    <row r="157" spans="1:7" x14ac:dyDescent="0.25">
      <c r="A157" s="1">
        <v>3</v>
      </c>
      <c r="B157" s="1" t="s">
        <v>10</v>
      </c>
      <c r="C157" s="1" t="s">
        <v>11</v>
      </c>
      <c r="D157" s="1">
        <v>1997</v>
      </c>
      <c r="E157" s="1" t="s">
        <v>9</v>
      </c>
      <c r="F157" s="1">
        <v>64</v>
      </c>
      <c r="G157" s="3">
        <v>375.5</v>
      </c>
    </row>
    <row r="158" spans="1:7" x14ac:dyDescent="0.25">
      <c r="A158" s="1">
        <v>4</v>
      </c>
      <c r="B158" s="1" t="s">
        <v>19</v>
      </c>
      <c r="C158" s="1" t="s">
        <v>11</v>
      </c>
      <c r="D158" s="1">
        <v>1997</v>
      </c>
      <c r="E158" s="1" t="s">
        <v>87</v>
      </c>
      <c r="F158" s="1">
        <v>80</v>
      </c>
      <c r="G158" s="3">
        <v>1940.849997</v>
      </c>
    </row>
    <row r="159" spans="1:7" x14ac:dyDescent="0.25">
      <c r="A159" s="1">
        <v>3</v>
      </c>
      <c r="B159" s="1" t="s">
        <v>10</v>
      </c>
      <c r="C159" s="1" t="s">
        <v>14</v>
      </c>
      <c r="D159" s="1">
        <v>1997</v>
      </c>
      <c r="E159" s="1" t="s">
        <v>15</v>
      </c>
      <c r="F159" s="1">
        <v>103</v>
      </c>
      <c r="G159" s="3">
        <v>1668.1</v>
      </c>
    </row>
    <row r="160" spans="1:7" x14ac:dyDescent="0.25">
      <c r="A160" s="1">
        <v>1</v>
      </c>
      <c r="B160" s="1" t="s">
        <v>19</v>
      </c>
      <c r="C160" s="1" t="s">
        <v>14</v>
      </c>
      <c r="D160" s="1">
        <v>1997</v>
      </c>
      <c r="E160" s="1" t="s">
        <v>12</v>
      </c>
      <c r="F160" s="1">
        <v>28</v>
      </c>
      <c r="G160" s="3">
        <v>319.19999969999998</v>
      </c>
    </row>
    <row r="161" spans="1:7" x14ac:dyDescent="0.25">
      <c r="A161" s="1">
        <v>4</v>
      </c>
      <c r="B161" s="1" t="s">
        <v>19</v>
      </c>
      <c r="C161" s="1" t="s">
        <v>14</v>
      </c>
      <c r="D161" s="1">
        <v>1997</v>
      </c>
      <c r="E161" s="1" t="s">
        <v>23</v>
      </c>
      <c r="F161" s="1">
        <v>89</v>
      </c>
      <c r="G161" s="3">
        <v>1640.9999969999999</v>
      </c>
    </row>
    <row r="162" spans="1:7" x14ac:dyDescent="0.25">
      <c r="A162" s="1">
        <v>1</v>
      </c>
      <c r="B162" s="1" t="s">
        <v>19</v>
      </c>
      <c r="C162" s="1" t="s">
        <v>14</v>
      </c>
      <c r="D162" s="1">
        <v>1997</v>
      </c>
      <c r="E162" s="1" t="s">
        <v>88</v>
      </c>
      <c r="F162" s="1">
        <v>40</v>
      </c>
      <c r="G162" s="3">
        <v>407.6999993</v>
      </c>
    </row>
    <row r="163" spans="1:7" x14ac:dyDescent="0.25">
      <c r="A163" s="1">
        <v>1</v>
      </c>
      <c r="B163" s="1" t="s">
        <v>19</v>
      </c>
      <c r="C163" s="1" t="s">
        <v>14</v>
      </c>
      <c r="D163" s="1">
        <v>1997</v>
      </c>
      <c r="E163" s="1" t="s">
        <v>86</v>
      </c>
      <c r="F163" s="1">
        <v>96</v>
      </c>
      <c r="G163" s="3">
        <v>2142.9</v>
      </c>
    </row>
    <row r="164" spans="1:7" x14ac:dyDescent="0.25">
      <c r="A164" s="1">
        <v>4</v>
      </c>
      <c r="B164" s="1" t="s">
        <v>19</v>
      </c>
      <c r="C164" s="1" t="s">
        <v>14</v>
      </c>
      <c r="D164" s="1">
        <v>1997</v>
      </c>
      <c r="E164" s="1" t="s">
        <v>12</v>
      </c>
      <c r="F164" s="1">
        <v>15</v>
      </c>
      <c r="G164" s="3">
        <v>227.99999919999999</v>
      </c>
    </row>
    <row r="165" spans="1:7" x14ac:dyDescent="0.25">
      <c r="A165" s="1">
        <v>6</v>
      </c>
      <c r="B165" s="1" t="s">
        <v>7</v>
      </c>
      <c r="C165" s="1" t="s">
        <v>16</v>
      </c>
      <c r="D165" s="1">
        <v>1997</v>
      </c>
      <c r="E165" s="1" t="s">
        <v>21</v>
      </c>
      <c r="F165" s="1">
        <v>10</v>
      </c>
      <c r="G165" s="3">
        <v>493</v>
      </c>
    </row>
    <row r="166" spans="1:7" x14ac:dyDescent="0.25">
      <c r="A166" s="1">
        <v>4</v>
      </c>
      <c r="B166" s="1" t="s">
        <v>19</v>
      </c>
      <c r="C166" s="1" t="s">
        <v>16</v>
      </c>
      <c r="D166" s="1">
        <v>1997</v>
      </c>
      <c r="E166" s="1" t="s">
        <v>86</v>
      </c>
      <c r="F166" s="1">
        <v>26</v>
      </c>
      <c r="G166" s="3">
        <v>477</v>
      </c>
    </row>
    <row r="167" spans="1:7" x14ac:dyDescent="0.25">
      <c r="A167" s="1">
        <v>3</v>
      </c>
      <c r="B167" s="1" t="s">
        <v>10</v>
      </c>
      <c r="C167" s="1" t="s">
        <v>16</v>
      </c>
      <c r="D167" s="1">
        <v>1997</v>
      </c>
      <c r="E167" s="1" t="s">
        <v>89</v>
      </c>
      <c r="F167" s="1">
        <v>27</v>
      </c>
      <c r="G167" s="3">
        <v>386.2</v>
      </c>
    </row>
    <row r="168" spans="1:7" x14ac:dyDescent="0.25">
      <c r="A168" s="1">
        <v>6</v>
      </c>
      <c r="B168" s="1" t="s">
        <v>7</v>
      </c>
      <c r="C168" s="1" t="s">
        <v>16</v>
      </c>
      <c r="D168" s="1">
        <v>1997</v>
      </c>
      <c r="E168" s="1" t="s">
        <v>87</v>
      </c>
      <c r="F168" s="1">
        <v>44</v>
      </c>
      <c r="G168" s="3">
        <v>355.5</v>
      </c>
    </row>
    <row r="169" spans="1:7" x14ac:dyDescent="0.25">
      <c r="A169" s="1">
        <v>2</v>
      </c>
      <c r="B169" s="1" t="s">
        <v>19</v>
      </c>
      <c r="C169" s="1" t="s">
        <v>16</v>
      </c>
      <c r="D169" s="1">
        <v>1997</v>
      </c>
      <c r="E169" s="1" t="s">
        <v>89</v>
      </c>
      <c r="F169" s="1">
        <v>50</v>
      </c>
      <c r="G169" s="3">
        <v>1328</v>
      </c>
    </row>
    <row r="170" spans="1:7" x14ac:dyDescent="0.25">
      <c r="A170" s="1">
        <v>9</v>
      </c>
      <c r="B170" s="1" t="s">
        <v>13</v>
      </c>
      <c r="C170" s="1" t="s">
        <v>16</v>
      </c>
      <c r="D170" s="1">
        <v>1997</v>
      </c>
      <c r="E170" s="1" t="s">
        <v>87</v>
      </c>
      <c r="F170" s="1">
        <v>8</v>
      </c>
      <c r="G170" s="3">
        <v>139.80000000000001</v>
      </c>
    </row>
    <row r="171" spans="1:7" x14ac:dyDescent="0.25">
      <c r="A171" s="1">
        <v>3</v>
      </c>
      <c r="B171" s="1" t="s">
        <v>10</v>
      </c>
      <c r="C171" s="1" t="s">
        <v>18</v>
      </c>
      <c r="D171" s="1">
        <v>1997</v>
      </c>
      <c r="E171" s="1" t="s">
        <v>88</v>
      </c>
      <c r="F171" s="1">
        <v>84</v>
      </c>
      <c r="G171" s="3">
        <v>1206.5999999999999</v>
      </c>
    </row>
    <row r="172" spans="1:7" x14ac:dyDescent="0.25">
      <c r="A172" s="1">
        <v>1</v>
      </c>
      <c r="B172" s="1" t="s">
        <v>19</v>
      </c>
      <c r="C172" s="1" t="s">
        <v>18</v>
      </c>
      <c r="D172" s="1">
        <v>1997</v>
      </c>
      <c r="E172" s="1" t="s">
        <v>87</v>
      </c>
      <c r="F172" s="1">
        <v>87</v>
      </c>
      <c r="G172" s="3">
        <v>3192.65</v>
      </c>
    </row>
    <row r="173" spans="1:7" x14ac:dyDescent="0.25">
      <c r="A173" s="1">
        <v>3</v>
      </c>
      <c r="B173" s="1" t="s">
        <v>10</v>
      </c>
      <c r="C173" s="1" t="s">
        <v>18</v>
      </c>
      <c r="D173" s="1">
        <v>1997</v>
      </c>
      <c r="E173" s="1" t="s">
        <v>15</v>
      </c>
      <c r="F173" s="1">
        <v>10</v>
      </c>
      <c r="G173" s="3">
        <v>96.5</v>
      </c>
    </row>
    <row r="174" spans="1:7" x14ac:dyDescent="0.25">
      <c r="A174" s="1">
        <v>1</v>
      </c>
      <c r="B174" s="1" t="s">
        <v>19</v>
      </c>
      <c r="C174" s="1" t="s">
        <v>18</v>
      </c>
      <c r="D174" s="1">
        <v>1997</v>
      </c>
      <c r="E174" s="1" t="s">
        <v>23</v>
      </c>
      <c r="F174" s="1">
        <v>35</v>
      </c>
      <c r="G174" s="3">
        <v>472.5</v>
      </c>
    </row>
    <row r="175" spans="1:7" x14ac:dyDescent="0.25">
      <c r="A175" s="1">
        <v>5</v>
      </c>
      <c r="B175" s="1" t="s">
        <v>19</v>
      </c>
      <c r="C175" s="1" t="s">
        <v>18</v>
      </c>
      <c r="D175" s="1">
        <v>1997</v>
      </c>
      <c r="E175" s="1" t="s">
        <v>9</v>
      </c>
      <c r="F175" s="1">
        <v>38</v>
      </c>
      <c r="G175" s="3">
        <v>601.82999900000004</v>
      </c>
    </row>
    <row r="176" spans="1:7" x14ac:dyDescent="0.25">
      <c r="A176" s="1">
        <v>1</v>
      </c>
      <c r="B176" s="1" t="s">
        <v>19</v>
      </c>
      <c r="C176" s="1" t="s">
        <v>18</v>
      </c>
      <c r="D176" s="1">
        <v>1997</v>
      </c>
      <c r="E176" s="1" t="s">
        <v>12</v>
      </c>
      <c r="F176" s="1">
        <v>61</v>
      </c>
      <c r="G176" s="3">
        <v>1459</v>
      </c>
    </row>
    <row r="177" spans="1:7" x14ac:dyDescent="0.25">
      <c r="A177" s="1">
        <v>9</v>
      </c>
      <c r="B177" s="1" t="s">
        <v>13</v>
      </c>
      <c r="C177" s="1" t="s">
        <v>18</v>
      </c>
      <c r="D177" s="1">
        <v>1997</v>
      </c>
      <c r="E177" s="1" t="s">
        <v>9</v>
      </c>
      <c r="F177" s="1">
        <v>27</v>
      </c>
      <c r="G177" s="3">
        <v>3815.2499939999998</v>
      </c>
    </row>
    <row r="178" spans="1:7" x14ac:dyDescent="0.25">
      <c r="A178" s="1">
        <v>3</v>
      </c>
      <c r="B178" s="1" t="s">
        <v>10</v>
      </c>
      <c r="C178" s="1" t="s">
        <v>18</v>
      </c>
      <c r="D178" s="1">
        <v>1997</v>
      </c>
      <c r="E178" s="1" t="s">
        <v>86</v>
      </c>
      <c r="F178" s="1">
        <v>87</v>
      </c>
      <c r="G178" s="3">
        <v>1501.0849989999999</v>
      </c>
    </row>
    <row r="179" spans="1:7" x14ac:dyDescent="0.25">
      <c r="A179" s="1">
        <v>1</v>
      </c>
      <c r="B179" s="1" t="s">
        <v>19</v>
      </c>
      <c r="C179" s="1" t="s">
        <v>18</v>
      </c>
      <c r="D179" s="1">
        <v>1997</v>
      </c>
      <c r="E179" s="1" t="s">
        <v>17</v>
      </c>
      <c r="F179" s="1">
        <v>52</v>
      </c>
      <c r="G179" s="3">
        <v>1503.6</v>
      </c>
    </row>
    <row r="180" spans="1:7" x14ac:dyDescent="0.25">
      <c r="A180" s="1">
        <v>4</v>
      </c>
      <c r="B180" s="1" t="s">
        <v>19</v>
      </c>
      <c r="C180" s="1" t="s">
        <v>90</v>
      </c>
      <c r="D180" s="1">
        <v>1997</v>
      </c>
      <c r="E180" s="1" t="s">
        <v>85</v>
      </c>
      <c r="F180" s="1">
        <v>3</v>
      </c>
      <c r="G180" s="3">
        <v>136.80000000000001</v>
      </c>
    </row>
    <row r="181" spans="1:7" x14ac:dyDescent="0.25">
      <c r="A181" s="1">
        <v>9</v>
      </c>
      <c r="B181" s="1" t="s">
        <v>13</v>
      </c>
      <c r="C181" s="1" t="s">
        <v>90</v>
      </c>
      <c r="D181" s="1">
        <v>1997</v>
      </c>
      <c r="E181" s="1" t="s">
        <v>85</v>
      </c>
      <c r="F181" s="1">
        <v>20</v>
      </c>
      <c r="G181" s="3">
        <v>149</v>
      </c>
    </row>
    <row r="182" spans="1:7" x14ac:dyDescent="0.25">
      <c r="A182" s="1">
        <v>8</v>
      </c>
      <c r="B182" s="1" t="s">
        <v>13</v>
      </c>
      <c r="C182" s="1" t="s">
        <v>90</v>
      </c>
      <c r="D182" s="1">
        <v>1997</v>
      </c>
      <c r="E182" s="1" t="s">
        <v>21</v>
      </c>
      <c r="F182" s="1">
        <v>27</v>
      </c>
      <c r="G182" s="3">
        <v>464</v>
      </c>
    </row>
    <row r="183" spans="1:7" x14ac:dyDescent="0.25">
      <c r="A183" s="1">
        <v>3</v>
      </c>
      <c r="B183" s="1" t="s">
        <v>10</v>
      </c>
      <c r="C183" s="1" t="s">
        <v>90</v>
      </c>
      <c r="D183" s="1">
        <v>1997</v>
      </c>
      <c r="E183" s="1" t="s">
        <v>86</v>
      </c>
      <c r="F183" s="1">
        <v>18</v>
      </c>
      <c r="G183" s="3">
        <v>330</v>
      </c>
    </row>
    <row r="184" spans="1:7" x14ac:dyDescent="0.25">
      <c r="A184" s="1">
        <v>3</v>
      </c>
      <c r="B184" s="1" t="s">
        <v>10</v>
      </c>
      <c r="C184" s="1" t="s">
        <v>20</v>
      </c>
      <c r="D184" s="1">
        <v>1997</v>
      </c>
      <c r="E184" s="1" t="s">
        <v>88</v>
      </c>
      <c r="F184" s="1">
        <v>168</v>
      </c>
      <c r="G184" s="3">
        <v>3832.7199970000001</v>
      </c>
    </row>
    <row r="185" spans="1:7" x14ac:dyDescent="0.25">
      <c r="A185" s="1">
        <v>6</v>
      </c>
      <c r="B185" s="1" t="s">
        <v>7</v>
      </c>
      <c r="C185" s="1" t="s">
        <v>20</v>
      </c>
      <c r="D185" s="1">
        <v>1997</v>
      </c>
      <c r="E185" s="1" t="s">
        <v>86</v>
      </c>
      <c r="F185" s="1">
        <v>30</v>
      </c>
      <c r="G185" s="3">
        <v>520.40999959999999</v>
      </c>
    </row>
    <row r="186" spans="1:7" x14ac:dyDescent="0.25">
      <c r="A186" s="1">
        <v>4</v>
      </c>
      <c r="B186" s="1" t="s">
        <v>19</v>
      </c>
      <c r="C186" s="1" t="s">
        <v>20</v>
      </c>
      <c r="D186" s="1">
        <v>1997</v>
      </c>
      <c r="E186" s="1" t="s">
        <v>17</v>
      </c>
      <c r="F186" s="1">
        <v>25</v>
      </c>
      <c r="G186" s="3">
        <v>450</v>
      </c>
    </row>
    <row r="187" spans="1:7" x14ac:dyDescent="0.25">
      <c r="A187" s="1">
        <v>4</v>
      </c>
      <c r="B187" s="1" t="s">
        <v>19</v>
      </c>
      <c r="C187" s="1" t="s">
        <v>20</v>
      </c>
      <c r="D187" s="1">
        <v>1997</v>
      </c>
      <c r="E187" s="1" t="s">
        <v>86</v>
      </c>
      <c r="F187" s="1">
        <v>50</v>
      </c>
      <c r="G187" s="3">
        <v>593.74999949999994</v>
      </c>
    </row>
    <row r="188" spans="1:7" x14ac:dyDescent="0.25">
      <c r="A188" s="1">
        <v>9</v>
      </c>
      <c r="B188" s="1" t="s">
        <v>13</v>
      </c>
      <c r="C188" s="1" t="s">
        <v>20</v>
      </c>
      <c r="D188" s="1">
        <v>1997</v>
      </c>
      <c r="E188" s="1" t="s">
        <v>86</v>
      </c>
      <c r="F188" s="1">
        <v>63</v>
      </c>
      <c r="G188" s="3">
        <v>1760.9999889999999</v>
      </c>
    </row>
    <row r="189" spans="1:7" x14ac:dyDescent="0.25">
      <c r="A189" s="1">
        <v>8</v>
      </c>
      <c r="B189" s="1" t="s">
        <v>13</v>
      </c>
      <c r="C189" s="1" t="s">
        <v>20</v>
      </c>
      <c r="D189" s="1">
        <v>1997</v>
      </c>
      <c r="E189" s="1" t="s">
        <v>9</v>
      </c>
      <c r="F189" s="1">
        <v>12</v>
      </c>
      <c r="G189" s="3">
        <v>660</v>
      </c>
    </row>
    <row r="190" spans="1:7" x14ac:dyDescent="0.25">
      <c r="A190" s="1">
        <v>3</v>
      </c>
      <c r="B190" s="1" t="s">
        <v>10</v>
      </c>
      <c r="C190" s="1" t="s">
        <v>22</v>
      </c>
      <c r="D190" s="1">
        <v>1997</v>
      </c>
      <c r="E190" s="1" t="s">
        <v>12</v>
      </c>
      <c r="F190" s="1">
        <v>20</v>
      </c>
      <c r="G190" s="3">
        <v>360</v>
      </c>
    </row>
    <row r="191" spans="1:7" x14ac:dyDescent="0.25">
      <c r="A191" s="1">
        <v>4</v>
      </c>
      <c r="B191" s="1" t="s">
        <v>19</v>
      </c>
      <c r="C191" s="1" t="s">
        <v>22</v>
      </c>
      <c r="D191" s="1">
        <v>1997</v>
      </c>
      <c r="E191" s="1" t="s">
        <v>12</v>
      </c>
      <c r="F191" s="1">
        <v>99</v>
      </c>
      <c r="G191" s="3">
        <v>1948.5</v>
      </c>
    </row>
    <row r="192" spans="1:7" x14ac:dyDescent="0.25">
      <c r="A192" s="1">
        <v>4</v>
      </c>
      <c r="B192" s="1" t="s">
        <v>19</v>
      </c>
      <c r="C192" s="1" t="s">
        <v>22</v>
      </c>
      <c r="D192" s="1">
        <v>1997</v>
      </c>
      <c r="E192" s="1" t="s">
        <v>85</v>
      </c>
      <c r="F192" s="1">
        <v>110</v>
      </c>
      <c r="G192" s="3">
        <v>2549.9999819999998</v>
      </c>
    </row>
    <row r="193" spans="1:7" x14ac:dyDescent="0.25">
      <c r="A193" s="1">
        <v>4</v>
      </c>
      <c r="B193" s="1" t="s">
        <v>19</v>
      </c>
      <c r="C193" s="1" t="s">
        <v>22</v>
      </c>
      <c r="D193" s="1">
        <v>1997</v>
      </c>
      <c r="E193" s="1" t="s">
        <v>89</v>
      </c>
      <c r="F193" s="1">
        <v>53</v>
      </c>
      <c r="G193" s="3">
        <v>1820.8</v>
      </c>
    </row>
    <row r="194" spans="1:7" x14ac:dyDescent="0.25">
      <c r="A194" s="1">
        <v>1</v>
      </c>
      <c r="B194" s="1" t="s">
        <v>19</v>
      </c>
      <c r="C194" s="1" t="s">
        <v>22</v>
      </c>
      <c r="D194" s="1">
        <v>1997</v>
      </c>
      <c r="E194" s="1" t="s">
        <v>87</v>
      </c>
      <c r="F194" s="1">
        <v>45</v>
      </c>
      <c r="G194" s="3">
        <v>818.3999996</v>
      </c>
    </row>
    <row r="195" spans="1:7" x14ac:dyDescent="0.25">
      <c r="A195" s="1">
        <v>3</v>
      </c>
      <c r="B195" s="1" t="s">
        <v>10</v>
      </c>
      <c r="C195" s="1" t="s">
        <v>22</v>
      </c>
      <c r="D195" s="1">
        <v>1997</v>
      </c>
      <c r="E195" s="1" t="s">
        <v>23</v>
      </c>
      <c r="F195" s="1">
        <v>51</v>
      </c>
      <c r="G195" s="3">
        <v>1296</v>
      </c>
    </row>
    <row r="196" spans="1:7" x14ac:dyDescent="0.25">
      <c r="A196" s="1">
        <v>5</v>
      </c>
      <c r="B196" s="1" t="s">
        <v>19</v>
      </c>
      <c r="C196" s="1" t="s">
        <v>22</v>
      </c>
      <c r="D196" s="1">
        <v>1997</v>
      </c>
      <c r="E196" s="1" t="s">
        <v>12</v>
      </c>
      <c r="F196" s="1">
        <v>28</v>
      </c>
      <c r="G196" s="3">
        <v>484.26249960000001</v>
      </c>
    </row>
    <row r="197" spans="1:7" x14ac:dyDescent="0.25">
      <c r="A197" s="1">
        <v>2</v>
      </c>
      <c r="B197" s="1" t="s">
        <v>19</v>
      </c>
      <c r="C197" s="1" t="s">
        <v>22</v>
      </c>
      <c r="D197" s="1">
        <v>1997</v>
      </c>
      <c r="E197" s="1" t="s">
        <v>9</v>
      </c>
      <c r="F197" s="1">
        <v>80</v>
      </c>
      <c r="G197" s="3">
        <v>1930.3999980000001</v>
      </c>
    </row>
    <row r="198" spans="1:7" x14ac:dyDescent="0.25">
      <c r="A198" s="1">
        <v>3</v>
      </c>
      <c r="B198" s="1" t="s">
        <v>10</v>
      </c>
      <c r="C198" s="1" t="s">
        <v>24</v>
      </c>
      <c r="D198" s="1">
        <v>1997</v>
      </c>
      <c r="E198" s="1" t="s">
        <v>91</v>
      </c>
      <c r="F198" s="1">
        <v>65</v>
      </c>
      <c r="G198" s="3">
        <v>802</v>
      </c>
    </row>
    <row r="199" spans="1:7" x14ac:dyDescent="0.25">
      <c r="A199" s="1">
        <v>3</v>
      </c>
      <c r="B199" s="1" t="s">
        <v>10</v>
      </c>
      <c r="C199" s="1" t="s">
        <v>24</v>
      </c>
      <c r="D199" s="1">
        <v>1997</v>
      </c>
      <c r="E199" s="1" t="s">
        <v>12</v>
      </c>
      <c r="F199" s="1">
        <v>105</v>
      </c>
      <c r="G199" s="3">
        <v>3118</v>
      </c>
    </row>
    <row r="200" spans="1:7" x14ac:dyDescent="0.25">
      <c r="A200" s="1">
        <v>4</v>
      </c>
      <c r="B200" s="1" t="s">
        <v>19</v>
      </c>
      <c r="C200" s="1" t="s">
        <v>24</v>
      </c>
      <c r="D200" s="1">
        <v>1997</v>
      </c>
      <c r="E200" s="1" t="s">
        <v>91</v>
      </c>
      <c r="F200" s="1">
        <v>130</v>
      </c>
      <c r="G200" s="3">
        <v>1892.25</v>
      </c>
    </row>
    <row r="201" spans="1:7" x14ac:dyDescent="0.25">
      <c r="A201" s="1">
        <v>3</v>
      </c>
      <c r="B201" s="1" t="s">
        <v>10</v>
      </c>
      <c r="C201" s="1" t="s">
        <v>24</v>
      </c>
      <c r="D201" s="1">
        <v>1997</v>
      </c>
      <c r="E201" s="1" t="s">
        <v>85</v>
      </c>
      <c r="F201" s="1">
        <v>80</v>
      </c>
      <c r="G201" s="3">
        <v>851.19999929999994</v>
      </c>
    </row>
    <row r="202" spans="1:7" x14ac:dyDescent="0.25">
      <c r="A202" s="1">
        <v>9</v>
      </c>
      <c r="B202" s="1" t="s">
        <v>13</v>
      </c>
      <c r="C202" s="1" t="s">
        <v>24</v>
      </c>
      <c r="D202" s="1">
        <v>1997</v>
      </c>
      <c r="E202" s="1" t="s">
        <v>91</v>
      </c>
      <c r="F202" s="1">
        <v>74</v>
      </c>
      <c r="G202" s="3">
        <v>966.79999640000005</v>
      </c>
    </row>
    <row r="203" spans="1:7" x14ac:dyDescent="0.25">
      <c r="A203" s="1">
        <v>4</v>
      </c>
      <c r="B203" s="1" t="s">
        <v>19</v>
      </c>
      <c r="C203" s="1" t="s">
        <v>25</v>
      </c>
      <c r="D203" s="1">
        <v>1997</v>
      </c>
      <c r="E203" s="1" t="s">
        <v>15</v>
      </c>
      <c r="F203" s="1">
        <v>60</v>
      </c>
      <c r="G203" s="3">
        <v>3026.85</v>
      </c>
    </row>
    <row r="204" spans="1:7" x14ac:dyDescent="0.25">
      <c r="A204" s="1">
        <v>9</v>
      </c>
      <c r="B204" s="1" t="s">
        <v>13</v>
      </c>
      <c r="C204" s="1" t="s">
        <v>92</v>
      </c>
      <c r="D204" s="1">
        <v>1997</v>
      </c>
      <c r="E204" s="1" t="s">
        <v>15</v>
      </c>
      <c r="F204" s="1">
        <v>1</v>
      </c>
      <c r="G204" s="3">
        <v>12.5</v>
      </c>
    </row>
    <row r="205" spans="1:7" x14ac:dyDescent="0.25">
      <c r="A205" s="1">
        <v>8</v>
      </c>
      <c r="B205" s="1" t="s">
        <v>13</v>
      </c>
      <c r="C205" s="1" t="s">
        <v>92</v>
      </c>
      <c r="D205" s="1">
        <v>1997</v>
      </c>
      <c r="E205" s="1" t="s">
        <v>85</v>
      </c>
      <c r="F205" s="1">
        <v>19</v>
      </c>
      <c r="G205" s="3">
        <v>225.5</v>
      </c>
    </row>
    <row r="206" spans="1:7" x14ac:dyDescent="0.25">
      <c r="A206" s="1">
        <v>7</v>
      </c>
      <c r="B206" s="1" t="s">
        <v>7</v>
      </c>
      <c r="C206" s="1" t="s">
        <v>27</v>
      </c>
      <c r="D206" s="1">
        <v>1997</v>
      </c>
      <c r="E206" s="1" t="s">
        <v>12</v>
      </c>
      <c r="F206" s="1">
        <v>70</v>
      </c>
      <c r="G206" s="3">
        <v>1890.4999989999999</v>
      </c>
    </row>
    <row r="207" spans="1:7" x14ac:dyDescent="0.25">
      <c r="A207" s="1">
        <v>1</v>
      </c>
      <c r="B207" s="1" t="s">
        <v>19</v>
      </c>
      <c r="C207" s="1" t="s">
        <v>27</v>
      </c>
      <c r="D207" s="1">
        <v>1997</v>
      </c>
      <c r="E207" s="1" t="s">
        <v>12</v>
      </c>
      <c r="F207" s="1">
        <v>83</v>
      </c>
      <c r="G207" s="3">
        <v>2311.6999999999998</v>
      </c>
    </row>
    <row r="208" spans="1:7" x14ac:dyDescent="0.25">
      <c r="A208" s="1">
        <v>6</v>
      </c>
      <c r="B208" s="1" t="s">
        <v>7</v>
      </c>
      <c r="C208" s="1" t="s">
        <v>27</v>
      </c>
      <c r="D208" s="1">
        <v>1997</v>
      </c>
      <c r="E208" s="1" t="s">
        <v>85</v>
      </c>
      <c r="F208" s="1">
        <v>66</v>
      </c>
      <c r="G208" s="3">
        <v>2314.1999989999999</v>
      </c>
    </row>
    <row r="209" spans="1:7" x14ac:dyDescent="0.25">
      <c r="A209" s="1">
        <v>4</v>
      </c>
      <c r="B209" s="1" t="s">
        <v>19</v>
      </c>
      <c r="C209" s="1" t="s">
        <v>28</v>
      </c>
      <c r="D209" s="1">
        <v>1997</v>
      </c>
      <c r="E209" s="1" t="s">
        <v>85</v>
      </c>
      <c r="F209" s="1">
        <v>30</v>
      </c>
      <c r="G209" s="3">
        <v>912</v>
      </c>
    </row>
    <row r="210" spans="1:7" x14ac:dyDescent="0.25">
      <c r="A210" s="1">
        <v>4</v>
      </c>
      <c r="B210" s="1" t="s">
        <v>19</v>
      </c>
      <c r="C210" s="1" t="s">
        <v>28</v>
      </c>
      <c r="D210" s="1">
        <v>1997</v>
      </c>
      <c r="E210" s="1" t="s">
        <v>89</v>
      </c>
      <c r="F210" s="1">
        <v>15</v>
      </c>
      <c r="G210" s="3">
        <v>216</v>
      </c>
    </row>
    <row r="211" spans="1:7" x14ac:dyDescent="0.25">
      <c r="A211" s="1">
        <v>8</v>
      </c>
      <c r="B211" s="1" t="s">
        <v>13</v>
      </c>
      <c r="C211" s="1" t="s">
        <v>93</v>
      </c>
      <c r="D211" s="1">
        <v>1997</v>
      </c>
      <c r="E211" s="1" t="s">
        <v>88</v>
      </c>
      <c r="F211" s="1">
        <v>32</v>
      </c>
      <c r="G211" s="3">
        <v>631.6</v>
      </c>
    </row>
    <row r="212" spans="1:7" x14ac:dyDescent="0.25">
      <c r="A212" s="1">
        <v>2</v>
      </c>
      <c r="B212" s="1" t="s">
        <v>19</v>
      </c>
      <c r="C212" s="1" t="s">
        <v>93</v>
      </c>
      <c r="D212" s="1">
        <v>1997</v>
      </c>
      <c r="E212" s="1" t="s">
        <v>89</v>
      </c>
      <c r="F212" s="1">
        <v>22</v>
      </c>
      <c r="G212" s="3">
        <v>156</v>
      </c>
    </row>
    <row r="213" spans="1:7" x14ac:dyDescent="0.25">
      <c r="A213" s="1">
        <v>8</v>
      </c>
      <c r="B213" s="1" t="s">
        <v>13</v>
      </c>
      <c r="C213" s="1" t="s">
        <v>29</v>
      </c>
      <c r="D213" s="1">
        <v>1997</v>
      </c>
      <c r="E213" s="1" t="s">
        <v>17</v>
      </c>
      <c r="F213" s="1">
        <v>50</v>
      </c>
      <c r="G213" s="3">
        <v>588.99999949999994</v>
      </c>
    </row>
    <row r="214" spans="1:7" x14ac:dyDescent="0.25">
      <c r="A214" s="1">
        <v>4</v>
      </c>
      <c r="B214" s="1" t="s">
        <v>19</v>
      </c>
      <c r="C214" s="1" t="s">
        <v>29</v>
      </c>
      <c r="D214" s="1">
        <v>1997</v>
      </c>
      <c r="E214" s="1" t="s">
        <v>17</v>
      </c>
      <c r="F214" s="1">
        <v>35</v>
      </c>
      <c r="G214" s="3">
        <v>708.75</v>
      </c>
    </row>
    <row r="215" spans="1:7" x14ac:dyDescent="0.25">
      <c r="A215" s="1">
        <v>8</v>
      </c>
      <c r="B215" s="1" t="s">
        <v>13</v>
      </c>
      <c r="C215" s="1" t="s">
        <v>29</v>
      </c>
      <c r="D215" s="1">
        <v>1997</v>
      </c>
      <c r="E215" s="1" t="s">
        <v>9</v>
      </c>
      <c r="F215" s="1">
        <v>32</v>
      </c>
      <c r="G215" s="3">
        <v>397.8</v>
      </c>
    </row>
    <row r="216" spans="1:7" x14ac:dyDescent="0.25">
      <c r="A216" s="1">
        <v>7</v>
      </c>
      <c r="B216" s="1" t="s">
        <v>7</v>
      </c>
      <c r="C216" s="1" t="s">
        <v>29</v>
      </c>
      <c r="D216" s="1">
        <v>1997</v>
      </c>
      <c r="E216" s="1" t="s">
        <v>85</v>
      </c>
      <c r="F216" s="1">
        <v>105</v>
      </c>
      <c r="G216" s="3">
        <v>1941.9999929999999</v>
      </c>
    </row>
    <row r="217" spans="1:7" x14ac:dyDescent="0.25">
      <c r="A217" s="1">
        <v>1</v>
      </c>
      <c r="B217" s="1" t="s">
        <v>19</v>
      </c>
      <c r="C217" s="1" t="s">
        <v>29</v>
      </c>
      <c r="D217" s="1">
        <v>1997</v>
      </c>
      <c r="E217" s="1" t="s">
        <v>9</v>
      </c>
      <c r="F217" s="1">
        <v>27</v>
      </c>
      <c r="G217" s="3">
        <v>625.27499899999998</v>
      </c>
    </row>
    <row r="218" spans="1:7" x14ac:dyDescent="0.25">
      <c r="A218" s="1">
        <v>7</v>
      </c>
      <c r="B218" s="1" t="s">
        <v>7</v>
      </c>
      <c r="C218" s="1" t="s">
        <v>30</v>
      </c>
      <c r="D218" s="1">
        <v>1997</v>
      </c>
      <c r="E218" s="1" t="s">
        <v>15</v>
      </c>
      <c r="F218" s="1">
        <v>20</v>
      </c>
      <c r="G218" s="3">
        <v>420</v>
      </c>
    </row>
    <row r="219" spans="1:7" x14ac:dyDescent="0.25">
      <c r="A219" s="1">
        <v>2</v>
      </c>
      <c r="B219" s="1" t="s">
        <v>19</v>
      </c>
      <c r="C219" s="1" t="s">
        <v>31</v>
      </c>
      <c r="D219" s="1">
        <v>1997</v>
      </c>
      <c r="E219" s="1" t="s">
        <v>9</v>
      </c>
      <c r="F219" s="1">
        <v>9</v>
      </c>
      <c r="G219" s="3">
        <v>63</v>
      </c>
    </row>
    <row r="220" spans="1:7" x14ac:dyDescent="0.25">
      <c r="A220" s="1">
        <v>7</v>
      </c>
      <c r="B220" s="1" t="s">
        <v>7</v>
      </c>
      <c r="C220" s="1" t="s">
        <v>31</v>
      </c>
      <c r="D220" s="1">
        <v>1997</v>
      </c>
      <c r="E220" s="1" t="s">
        <v>21</v>
      </c>
      <c r="F220" s="1">
        <v>19</v>
      </c>
      <c r="G220" s="3">
        <v>424</v>
      </c>
    </row>
    <row r="221" spans="1:7" x14ac:dyDescent="0.25">
      <c r="A221" s="1">
        <v>4</v>
      </c>
      <c r="B221" s="1" t="s">
        <v>19</v>
      </c>
      <c r="C221" s="1" t="s">
        <v>32</v>
      </c>
      <c r="D221" s="1">
        <v>1997</v>
      </c>
      <c r="E221" s="1" t="s">
        <v>12</v>
      </c>
      <c r="F221" s="1">
        <v>30</v>
      </c>
      <c r="G221" s="3">
        <v>655</v>
      </c>
    </row>
    <row r="222" spans="1:7" x14ac:dyDescent="0.25">
      <c r="A222" s="1">
        <v>7</v>
      </c>
      <c r="B222" s="1" t="s">
        <v>7</v>
      </c>
      <c r="C222" s="1" t="s">
        <v>32</v>
      </c>
      <c r="D222" s="1">
        <v>1997</v>
      </c>
      <c r="E222" s="1" t="s">
        <v>87</v>
      </c>
      <c r="F222" s="1">
        <v>39</v>
      </c>
      <c r="G222" s="3">
        <v>796.35</v>
      </c>
    </row>
    <row r="223" spans="1:7" x14ac:dyDescent="0.25">
      <c r="A223" s="1">
        <v>1</v>
      </c>
      <c r="B223" s="1" t="s">
        <v>19</v>
      </c>
      <c r="C223" s="1" t="s">
        <v>32</v>
      </c>
      <c r="D223" s="1">
        <v>1997</v>
      </c>
      <c r="E223" s="1" t="s">
        <v>91</v>
      </c>
      <c r="F223" s="1">
        <v>86</v>
      </c>
      <c r="G223" s="3">
        <v>3063</v>
      </c>
    </row>
    <row r="224" spans="1:7" x14ac:dyDescent="0.25">
      <c r="A224" s="1">
        <v>2</v>
      </c>
      <c r="B224" s="1" t="s">
        <v>19</v>
      </c>
      <c r="C224" s="1" t="s">
        <v>33</v>
      </c>
      <c r="D224" s="1">
        <v>1997</v>
      </c>
      <c r="E224" s="1" t="s">
        <v>21</v>
      </c>
      <c r="F224" s="1">
        <v>215</v>
      </c>
      <c r="G224" s="3">
        <v>4725</v>
      </c>
    </row>
    <row r="225" spans="1:7" x14ac:dyDescent="0.25">
      <c r="A225" s="1">
        <v>4</v>
      </c>
      <c r="B225" s="1" t="s">
        <v>19</v>
      </c>
      <c r="C225" s="1" t="s">
        <v>33</v>
      </c>
      <c r="D225" s="1">
        <v>1997</v>
      </c>
      <c r="E225" s="1" t="s">
        <v>23</v>
      </c>
      <c r="F225" s="1">
        <v>108</v>
      </c>
      <c r="G225" s="3">
        <v>3436.4434980000001</v>
      </c>
    </row>
    <row r="226" spans="1:7" x14ac:dyDescent="0.25">
      <c r="A226" s="1">
        <v>4</v>
      </c>
      <c r="B226" s="1" t="s">
        <v>19</v>
      </c>
      <c r="C226" s="1" t="s">
        <v>33</v>
      </c>
      <c r="D226" s="1">
        <v>1997</v>
      </c>
      <c r="E226" s="1" t="s">
        <v>91</v>
      </c>
      <c r="F226" s="1">
        <v>286</v>
      </c>
      <c r="G226" s="3">
        <v>5754.2149810000001</v>
      </c>
    </row>
    <row r="227" spans="1:7" x14ac:dyDescent="0.25">
      <c r="A227" s="1">
        <v>6</v>
      </c>
      <c r="B227" s="1" t="s">
        <v>7</v>
      </c>
      <c r="C227" s="1" t="s">
        <v>33</v>
      </c>
      <c r="D227" s="1">
        <v>1997</v>
      </c>
      <c r="E227" s="1" t="s">
        <v>15</v>
      </c>
      <c r="F227" s="1">
        <v>150</v>
      </c>
      <c r="G227" s="3">
        <v>2285.999996</v>
      </c>
    </row>
    <row r="228" spans="1:7" x14ac:dyDescent="0.25">
      <c r="A228" s="1">
        <v>8</v>
      </c>
      <c r="B228" s="1" t="s">
        <v>13</v>
      </c>
      <c r="C228" s="1" t="s">
        <v>33</v>
      </c>
      <c r="D228" s="1">
        <v>1997</v>
      </c>
      <c r="E228" s="1" t="s">
        <v>15</v>
      </c>
      <c r="F228" s="1">
        <v>100</v>
      </c>
      <c r="G228" s="3">
        <v>2158</v>
      </c>
    </row>
    <row r="229" spans="1:7" x14ac:dyDescent="0.25">
      <c r="A229" s="1">
        <v>9</v>
      </c>
      <c r="B229" s="1" t="s">
        <v>13</v>
      </c>
      <c r="C229" s="1" t="s">
        <v>33</v>
      </c>
      <c r="D229" s="1">
        <v>1997</v>
      </c>
      <c r="E229" s="1" t="s">
        <v>15</v>
      </c>
      <c r="F229" s="1">
        <v>16</v>
      </c>
      <c r="G229" s="3">
        <v>344</v>
      </c>
    </row>
    <row r="230" spans="1:7" x14ac:dyDescent="0.25">
      <c r="A230" s="1">
        <v>7</v>
      </c>
      <c r="B230" s="1" t="s">
        <v>7</v>
      </c>
      <c r="C230" s="1" t="s">
        <v>33</v>
      </c>
      <c r="D230" s="1">
        <v>1997</v>
      </c>
      <c r="E230" s="1" t="s">
        <v>9</v>
      </c>
      <c r="F230" s="1">
        <v>59</v>
      </c>
      <c r="G230" s="3">
        <v>1536.799994</v>
      </c>
    </row>
    <row r="231" spans="1:7" x14ac:dyDescent="0.25">
      <c r="A231" s="1">
        <v>8</v>
      </c>
      <c r="B231" s="1" t="s">
        <v>13</v>
      </c>
      <c r="C231" s="1" t="s">
        <v>33</v>
      </c>
      <c r="D231" s="1">
        <v>1997</v>
      </c>
      <c r="E231" s="1" t="s">
        <v>91</v>
      </c>
      <c r="F231" s="1">
        <v>125</v>
      </c>
      <c r="G231" s="3">
        <v>2713.5</v>
      </c>
    </row>
    <row r="232" spans="1:7" x14ac:dyDescent="0.25">
      <c r="A232" s="1">
        <v>3</v>
      </c>
      <c r="B232" s="1" t="s">
        <v>10</v>
      </c>
      <c r="C232" s="1" t="s">
        <v>33</v>
      </c>
      <c r="D232" s="1">
        <v>1997</v>
      </c>
      <c r="E232" s="1" t="s">
        <v>88</v>
      </c>
      <c r="F232" s="1">
        <v>170</v>
      </c>
      <c r="G232" s="3">
        <v>1792</v>
      </c>
    </row>
    <row r="233" spans="1:7" x14ac:dyDescent="0.25">
      <c r="A233" s="1">
        <v>3</v>
      </c>
      <c r="B233" s="1" t="s">
        <v>10</v>
      </c>
      <c r="C233" s="1" t="s">
        <v>33</v>
      </c>
      <c r="D233" s="1">
        <v>1997</v>
      </c>
      <c r="E233" s="1" t="s">
        <v>85</v>
      </c>
      <c r="F233" s="1">
        <v>233</v>
      </c>
      <c r="G233" s="3">
        <v>8623.4500000000007</v>
      </c>
    </row>
    <row r="234" spans="1:7" x14ac:dyDescent="0.25">
      <c r="A234" s="1">
        <v>8</v>
      </c>
      <c r="B234" s="1" t="s">
        <v>13</v>
      </c>
      <c r="C234" s="1" t="s">
        <v>33</v>
      </c>
      <c r="D234" s="1">
        <v>1997</v>
      </c>
      <c r="E234" s="1" t="s">
        <v>86</v>
      </c>
      <c r="F234" s="1">
        <v>39</v>
      </c>
      <c r="G234" s="3">
        <v>550.58749609999995</v>
      </c>
    </row>
    <row r="235" spans="1:7" x14ac:dyDescent="0.25">
      <c r="A235" s="1">
        <v>1</v>
      </c>
      <c r="B235" s="1" t="s">
        <v>19</v>
      </c>
      <c r="C235" s="1" t="s">
        <v>33</v>
      </c>
      <c r="D235" s="1">
        <v>1997</v>
      </c>
      <c r="E235" s="1" t="s">
        <v>15</v>
      </c>
      <c r="F235" s="1">
        <v>285</v>
      </c>
      <c r="G235" s="3">
        <v>8665.6749920000002</v>
      </c>
    </row>
    <row r="236" spans="1:7" x14ac:dyDescent="0.25">
      <c r="A236" s="1">
        <v>7</v>
      </c>
      <c r="B236" s="1" t="s">
        <v>7</v>
      </c>
      <c r="C236" s="1" t="s">
        <v>33</v>
      </c>
      <c r="D236" s="1">
        <v>1997</v>
      </c>
      <c r="E236" s="1" t="s">
        <v>17</v>
      </c>
      <c r="F236" s="1">
        <v>164</v>
      </c>
      <c r="G236" s="3">
        <v>5510.5924610000002</v>
      </c>
    </row>
    <row r="237" spans="1:7" x14ac:dyDescent="0.25">
      <c r="A237" s="1">
        <v>5</v>
      </c>
      <c r="B237" s="1" t="s">
        <v>19</v>
      </c>
      <c r="C237" s="1" t="s">
        <v>34</v>
      </c>
      <c r="D237" s="1">
        <v>1997</v>
      </c>
      <c r="E237" s="1" t="s">
        <v>17</v>
      </c>
      <c r="F237" s="1">
        <v>85</v>
      </c>
      <c r="G237" s="3">
        <v>1779.1999989999999</v>
      </c>
    </row>
    <row r="238" spans="1:7" x14ac:dyDescent="0.25">
      <c r="A238" s="1">
        <v>4</v>
      </c>
      <c r="B238" s="1" t="s">
        <v>19</v>
      </c>
      <c r="C238" s="1" t="s">
        <v>34</v>
      </c>
      <c r="D238" s="1">
        <v>1997</v>
      </c>
      <c r="E238" s="1" t="s">
        <v>23</v>
      </c>
      <c r="F238" s="1">
        <v>22</v>
      </c>
      <c r="G238" s="3">
        <v>287.8</v>
      </c>
    </row>
    <row r="239" spans="1:7" x14ac:dyDescent="0.25">
      <c r="A239" s="1">
        <v>7</v>
      </c>
      <c r="B239" s="1" t="s">
        <v>7</v>
      </c>
      <c r="C239" s="1" t="s">
        <v>34</v>
      </c>
      <c r="D239" s="1">
        <v>1997</v>
      </c>
      <c r="E239" s="1" t="s">
        <v>85</v>
      </c>
      <c r="F239" s="1">
        <v>37</v>
      </c>
      <c r="G239" s="3">
        <v>525.29999629999998</v>
      </c>
    </row>
    <row r="240" spans="1:7" x14ac:dyDescent="0.25">
      <c r="A240" s="1">
        <v>2</v>
      </c>
      <c r="B240" s="1" t="s">
        <v>19</v>
      </c>
      <c r="C240" s="1" t="s">
        <v>34</v>
      </c>
      <c r="D240" s="1">
        <v>1997</v>
      </c>
      <c r="E240" s="1" t="s">
        <v>91</v>
      </c>
      <c r="F240" s="1">
        <v>68</v>
      </c>
      <c r="G240" s="3">
        <v>224.82999989999999</v>
      </c>
    </row>
    <row r="241" spans="1:7" x14ac:dyDescent="0.25">
      <c r="A241" s="1">
        <v>3</v>
      </c>
      <c r="B241" s="1" t="s">
        <v>10</v>
      </c>
      <c r="C241" s="1" t="s">
        <v>34</v>
      </c>
      <c r="D241" s="1">
        <v>1997</v>
      </c>
      <c r="E241" s="1" t="s">
        <v>86</v>
      </c>
      <c r="F241" s="1">
        <v>50</v>
      </c>
      <c r="G241" s="3">
        <v>309.99999880000001</v>
      </c>
    </row>
    <row r="242" spans="1:7" x14ac:dyDescent="0.25">
      <c r="A242" s="1">
        <v>1</v>
      </c>
      <c r="B242" s="1" t="s">
        <v>19</v>
      </c>
      <c r="C242" s="1" t="s">
        <v>94</v>
      </c>
      <c r="D242" s="1">
        <v>1997</v>
      </c>
      <c r="E242" s="1" t="s">
        <v>15</v>
      </c>
      <c r="F242" s="1">
        <v>93</v>
      </c>
      <c r="G242" s="3">
        <v>3687</v>
      </c>
    </row>
    <row r="243" spans="1:7" x14ac:dyDescent="0.25">
      <c r="A243" s="1">
        <v>6</v>
      </c>
      <c r="B243" s="1" t="s">
        <v>7</v>
      </c>
      <c r="C243" s="1" t="s">
        <v>94</v>
      </c>
      <c r="D243" s="1">
        <v>1997</v>
      </c>
      <c r="E243" s="1" t="s">
        <v>89</v>
      </c>
      <c r="F243" s="1">
        <v>42</v>
      </c>
      <c r="G243" s="3">
        <v>756</v>
      </c>
    </row>
    <row r="244" spans="1:7" x14ac:dyDescent="0.25">
      <c r="A244" s="1">
        <v>4</v>
      </c>
      <c r="B244" s="1" t="s">
        <v>19</v>
      </c>
      <c r="C244" s="1" t="s">
        <v>94</v>
      </c>
      <c r="D244" s="1">
        <v>1997</v>
      </c>
      <c r="E244" s="1" t="s">
        <v>17</v>
      </c>
      <c r="F244" s="1">
        <v>102</v>
      </c>
      <c r="G244" s="3">
        <v>4985.5</v>
      </c>
    </row>
    <row r="245" spans="1:7" x14ac:dyDescent="0.25">
      <c r="A245" s="1">
        <v>8</v>
      </c>
      <c r="B245" s="1" t="s">
        <v>13</v>
      </c>
      <c r="C245" s="1" t="s">
        <v>94</v>
      </c>
      <c r="D245" s="1">
        <v>1997</v>
      </c>
      <c r="E245" s="1" t="s">
        <v>91</v>
      </c>
      <c r="F245" s="1">
        <v>51</v>
      </c>
      <c r="G245" s="3">
        <v>1622.4</v>
      </c>
    </row>
    <row r="246" spans="1:7" x14ac:dyDescent="0.25">
      <c r="A246" s="1">
        <v>3</v>
      </c>
      <c r="B246" s="1" t="s">
        <v>10</v>
      </c>
      <c r="C246" s="1" t="s">
        <v>94</v>
      </c>
      <c r="D246" s="1">
        <v>1997</v>
      </c>
      <c r="E246" s="1" t="s">
        <v>15</v>
      </c>
      <c r="F246" s="1">
        <v>66</v>
      </c>
      <c r="G246" s="3">
        <v>616</v>
      </c>
    </row>
    <row r="247" spans="1:7" x14ac:dyDescent="0.25">
      <c r="A247" s="1">
        <v>4</v>
      </c>
      <c r="B247" s="1" t="s">
        <v>19</v>
      </c>
      <c r="C247" s="1" t="s">
        <v>35</v>
      </c>
      <c r="D247" s="1">
        <v>1997</v>
      </c>
      <c r="E247" s="1" t="s">
        <v>15</v>
      </c>
      <c r="F247" s="1">
        <v>52</v>
      </c>
      <c r="G247" s="3">
        <v>868.75</v>
      </c>
    </row>
    <row r="248" spans="1:7" x14ac:dyDescent="0.25">
      <c r="A248" s="1">
        <v>3</v>
      </c>
      <c r="B248" s="1" t="s">
        <v>10</v>
      </c>
      <c r="C248" s="1" t="s">
        <v>35</v>
      </c>
      <c r="D248" s="1">
        <v>1997</v>
      </c>
      <c r="E248" s="1" t="s">
        <v>15</v>
      </c>
      <c r="F248" s="1">
        <v>134</v>
      </c>
      <c r="G248" s="3">
        <v>4337</v>
      </c>
    </row>
    <row r="249" spans="1:7" x14ac:dyDescent="0.25">
      <c r="A249" s="1">
        <v>2</v>
      </c>
      <c r="B249" s="1" t="s">
        <v>19</v>
      </c>
      <c r="C249" s="1" t="s">
        <v>35</v>
      </c>
      <c r="D249" s="1">
        <v>1997</v>
      </c>
      <c r="E249" s="1" t="s">
        <v>86</v>
      </c>
      <c r="F249" s="1">
        <v>60</v>
      </c>
      <c r="G249" s="3">
        <v>2844.5</v>
      </c>
    </row>
    <row r="250" spans="1:7" x14ac:dyDescent="0.25">
      <c r="A250" s="1">
        <v>8</v>
      </c>
      <c r="B250" s="1" t="s">
        <v>13</v>
      </c>
      <c r="C250" s="1" t="s">
        <v>35</v>
      </c>
      <c r="D250" s="1">
        <v>1997</v>
      </c>
      <c r="E250" s="1" t="s">
        <v>88</v>
      </c>
      <c r="F250" s="1">
        <v>25</v>
      </c>
      <c r="G250" s="3">
        <v>176.1</v>
      </c>
    </row>
    <row r="251" spans="1:7" x14ac:dyDescent="0.25">
      <c r="A251" s="1">
        <v>6</v>
      </c>
      <c r="B251" s="1" t="s">
        <v>7</v>
      </c>
      <c r="C251" s="1" t="s">
        <v>35</v>
      </c>
      <c r="D251" s="1">
        <v>1997</v>
      </c>
      <c r="E251" s="1" t="s">
        <v>23</v>
      </c>
      <c r="F251" s="1">
        <v>75</v>
      </c>
      <c r="G251" s="3">
        <v>2545</v>
      </c>
    </row>
    <row r="252" spans="1:7" x14ac:dyDescent="0.25">
      <c r="A252" s="1">
        <v>8</v>
      </c>
      <c r="B252" s="1" t="s">
        <v>13</v>
      </c>
      <c r="C252" s="1" t="s">
        <v>35</v>
      </c>
      <c r="D252" s="1">
        <v>1997</v>
      </c>
      <c r="E252" s="1" t="s">
        <v>87</v>
      </c>
      <c r="F252" s="1">
        <v>98</v>
      </c>
      <c r="G252" s="3">
        <v>2222.1999989999999</v>
      </c>
    </row>
    <row r="253" spans="1:7" x14ac:dyDescent="0.25">
      <c r="A253" s="1">
        <v>3</v>
      </c>
      <c r="B253" s="1" t="s">
        <v>10</v>
      </c>
      <c r="C253" s="1" t="s">
        <v>35</v>
      </c>
      <c r="D253" s="1">
        <v>1997</v>
      </c>
      <c r="E253" s="1" t="s">
        <v>88</v>
      </c>
      <c r="F253" s="1">
        <v>24</v>
      </c>
      <c r="G253" s="3">
        <v>321.11999850000001</v>
      </c>
    </row>
    <row r="254" spans="1:7" x14ac:dyDescent="0.25">
      <c r="A254" s="1">
        <v>1</v>
      </c>
      <c r="B254" s="1" t="s">
        <v>19</v>
      </c>
      <c r="C254" s="1" t="s">
        <v>95</v>
      </c>
      <c r="D254" s="1">
        <v>1997</v>
      </c>
      <c r="E254" s="1" t="s">
        <v>9</v>
      </c>
      <c r="F254" s="1">
        <v>32</v>
      </c>
      <c r="G254" s="3">
        <v>920.1</v>
      </c>
    </row>
    <row r="255" spans="1:7" x14ac:dyDescent="0.25">
      <c r="A255" s="1">
        <v>1</v>
      </c>
      <c r="B255" s="1" t="s">
        <v>19</v>
      </c>
      <c r="C255" s="1" t="s">
        <v>96</v>
      </c>
      <c r="D255" s="1">
        <v>1997</v>
      </c>
      <c r="E255" s="1" t="s">
        <v>23</v>
      </c>
      <c r="F255" s="1">
        <v>10</v>
      </c>
      <c r="G255" s="3">
        <v>93.5</v>
      </c>
    </row>
    <row r="256" spans="1:7" x14ac:dyDescent="0.25">
      <c r="A256" s="1">
        <v>2</v>
      </c>
      <c r="B256" s="1" t="s">
        <v>19</v>
      </c>
      <c r="C256" s="1" t="s">
        <v>96</v>
      </c>
      <c r="D256" s="1">
        <v>1997</v>
      </c>
      <c r="E256" s="1" t="s">
        <v>91</v>
      </c>
      <c r="F256" s="1">
        <v>2</v>
      </c>
      <c r="G256" s="3">
        <v>49.8</v>
      </c>
    </row>
    <row r="257" spans="1:7" x14ac:dyDescent="0.25">
      <c r="A257" s="1">
        <v>3</v>
      </c>
      <c r="B257" s="1" t="s">
        <v>10</v>
      </c>
      <c r="C257" s="1" t="s">
        <v>96</v>
      </c>
      <c r="D257" s="1">
        <v>1997</v>
      </c>
      <c r="E257" s="1" t="s">
        <v>12</v>
      </c>
      <c r="F257" s="1">
        <v>9</v>
      </c>
      <c r="G257" s="3">
        <v>88</v>
      </c>
    </row>
    <row r="258" spans="1:7" x14ac:dyDescent="0.25">
      <c r="A258" s="1">
        <v>4</v>
      </c>
      <c r="B258" s="1" t="s">
        <v>19</v>
      </c>
      <c r="C258" s="1" t="s">
        <v>96</v>
      </c>
      <c r="D258" s="1">
        <v>1997</v>
      </c>
      <c r="E258" s="1" t="s">
        <v>15</v>
      </c>
      <c r="F258" s="1">
        <v>1</v>
      </c>
      <c r="G258" s="3">
        <v>18.399999999999999</v>
      </c>
    </row>
    <row r="259" spans="1:7" x14ac:dyDescent="0.25">
      <c r="A259" s="1">
        <v>1</v>
      </c>
      <c r="B259" s="1" t="s">
        <v>19</v>
      </c>
      <c r="C259" s="1" t="s">
        <v>36</v>
      </c>
      <c r="D259" s="1">
        <v>1997</v>
      </c>
      <c r="E259" s="1" t="s">
        <v>23</v>
      </c>
      <c r="F259" s="1">
        <v>72</v>
      </c>
      <c r="G259" s="3">
        <v>1270.7499989999999</v>
      </c>
    </row>
    <row r="260" spans="1:7" x14ac:dyDescent="0.25">
      <c r="A260" s="1">
        <v>4</v>
      </c>
      <c r="B260" s="1" t="s">
        <v>19</v>
      </c>
      <c r="C260" s="1" t="s">
        <v>36</v>
      </c>
      <c r="D260" s="1">
        <v>1997</v>
      </c>
      <c r="E260" s="1" t="s">
        <v>9</v>
      </c>
      <c r="F260" s="1">
        <v>192</v>
      </c>
      <c r="G260" s="3">
        <v>2301.75</v>
      </c>
    </row>
    <row r="261" spans="1:7" x14ac:dyDescent="0.25">
      <c r="A261" s="1">
        <v>6</v>
      </c>
      <c r="B261" s="1" t="s">
        <v>7</v>
      </c>
      <c r="C261" s="1" t="s">
        <v>36</v>
      </c>
      <c r="D261" s="1">
        <v>1997</v>
      </c>
      <c r="E261" s="1" t="s">
        <v>15</v>
      </c>
      <c r="F261" s="1">
        <v>34</v>
      </c>
      <c r="G261" s="3">
        <v>1829.756999</v>
      </c>
    </row>
    <row r="262" spans="1:7" x14ac:dyDescent="0.25">
      <c r="A262" s="1">
        <v>5</v>
      </c>
      <c r="B262" s="1" t="s">
        <v>19</v>
      </c>
      <c r="C262" s="1" t="s">
        <v>36</v>
      </c>
      <c r="D262" s="1">
        <v>1997</v>
      </c>
      <c r="E262" s="1" t="s">
        <v>9</v>
      </c>
      <c r="F262" s="1">
        <v>70</v>
      </c>
      <c r="G262" s="3">
        <v>1423</v>
      </c>
    </row>
    <row r="263" spans="1:7" x14ac:dyDescent="0.25">
      <c r="A263" s="1">
        <v>8</v>
      </c>
      <c r="B263" s="1" t="s">
        <v>13</v>
      </c>
      <c r="C263" s="1" t="s">
        <v>36</v>
      </c>
      <c r="D263" s="1">
        <v>1997</v>
      </c>
      <c r="E263" s="1" t="s">
        <v>17</v>
      </c>
      <c r="F263" s="1">
        <v>94</v>
      </c>
      <c r="G263" s="3">
        <v>1336.9499989999999</v>
      </c>
    </row>
    <row r="264" spans="1:7" x14ac:dyDescent="0.25">
      <c r="A264" s="1">
        <v>8</v>
      </c>
      <c r="B264" s="1" t="s">
        <v>13</v>
      </c>
      <c r="C264" s="1" t="s">
        <v>36</v>
      </c>
      <c r="D264" s="1">
        <v>1997</v>
      </c>
      <c r="E264" s="1" t="s">
        <v>86</v>
      </c>
      <c r="F264" s="1">
        <v>35</v>
      </c>
      <c r="G264" s="3">
        <v>1072.425</v>
      </c>
    </row>
    <row r="265" spans="1:7" x14ac:dyDescent="0.25">
      <c r="A265" s="1">
        <v>8</v>
      </c>
      <c r="B265" s="1" t="s">
        <v>13</v>
      </c>
      <c r="C265" s="1" t="s">
        <v>36</v>
      </c>
      <c r="D265" s="1">
        <v>1997</v>
      </c>
      <c r="E265" s="1" t="s">
        <v>89</v>
      </c>
      <c r="F265" s="1">
        <v>50</v>
      </c>
      <c r="G265" s="3">
        <v>1511.9999989999999</v>
      </c>
    </row>
    <row r="266" spans="1:7" x14ac:dyDescent="0.25">
      <c r="A266" s="1">
        <v>1</v>
      </c>
      <c r="B266" s="1" t="s">
        <v>19</v>
      </c>
      <c r="C266" s="1" t="s">
        <v>36</v>
      </c>
      <c r="D266" s="1">
        <v>1997</v>
      </c>
      <c r="E266" s="1" t="s">
        <v>9</v>
      </c>
      <c r="F266" s="1">
        <v>50</v>
      </c>
      <c r="G266" s="3">
        <v>1083.1499980000001</v>
      </c>
    </row>
    <row r="267" spans="1:7" x14ac:dyDescent="0.25">
      <c r="A267" s="1">
        <v>4</v>
      </c>
      <c r="B267" s="1" t="s">
        <v>19</v>
      </c>
      <c r="C267" s="1" t="s">
        <v>37</v>
      </c>
      <c r="D267" s="1">
        <v>1997</v>
      </c>
      <c r="E267" s="1" t="s">
        <v>87</v>
      </c>
      <c r="F267" s="1">
        <v>100</v>
      </c>
      <c r="G267" s="3">
        <v>1677.299994</v>
      </c>
    </row>
    <row r="268" spans="1:7" x14ac:dyDescent="0.25">
      <c r="A268" s="1">
        <v>8</v>
      </c>
      <c r="B268" s="1" t="s">
        <v>13</v>
      </c>
      <c r="C268" s="1" t="s">
        <v>37</v>
      </c>
      <c r="D268" s="1">
        <v>1997</v>
      </c>
      <c r="E268" s="1" t="s">
        <v>89</v>
      </c>
      <c r="F268" s="1">
        <v>22</v>
      </c>
      <c r="G268" s="3">
        <v>259.50499819999999</v>
      </c>
    </row>
    <row r="269" spans="1:7" x14ac:dyDescent="0.25">
      <c r="A269" s="1">
        <v>4</v>
      </c>
      <c r="B269" s="1" t="s">
        <v>19</v>
      </c>
      <c r="C269" s="1" t="s">
        <v>37</v>
      </c>
      <c r="D269" s="1">
        <v>1997</v>
      </c>
      <c r="E269" s="1" t="s">
        <v>89</v>
      </c>
      <c r="F269" s="1">
        <v>69</v>
      </c>
      <c r="G269" s="3">
        <v>1609.279996</v>
      </c>
    </row>
    <row r="270" spans="1:7" x14ac:dyDescent="0.25">
      <c r="A270" s="1">
        <v>1</v>
      </c>
      <c r="B270" s="1" t="s">
        <v>19</v>
      </c>
      <c r="C270" s="1" t="s">
        <v>37</v>
      </c>
      <c r="D270" s="1">
        <v>1997</v>
      </c>
      <c r="E270" s="1" t="s">
        <v>9</v>
      </c>
      <c r="F270" s="1">
        <v>51</v>
      </c>
      <c r="G270" s="3">
        <v>1288.387491</v>
      </c>
    </row>
    <row r="271" spans="1:7" x14ac:dyDescent="0.25">
      <c r="A271" s="1">
        <v>1</v>
      </c>
      <c r="B271" s="1" t="s">
        <v>19</v>
      </c>
      <c r="C271" s="1" t="s">
        <v>37</v>
      </c>
      <c r="D271" s="1">
        <v>1997</v>
      </c>
      <c r="E271" s="1" t="s">
        <v>21</v>
      </c>
      <c r="F271" s="1">
        <v>16</v>
      </c>
      <c r="G271" s="3">
        <v>230.84999959999999</v>
      </c>
    </row>
    <row r="272" spans="1:7" x14ac:dyDescent="0.25">
      <c r="A272" s="1">
        <v>1</v>
      </c>
      <c r="B272" s="1" t="s">
        <v>19</v>
      </c>
      <c r="C272" s="1" t="s">
        <v>38</v>
      </c>
      <c r="D272" s="1">
        <v>1997</v>
      </c>
      <c r="E272" s="1" t="s">
        <v>15</v>
      </c>
      <c r="F272" s="1">
        <v>20</v>
      </c>
      <c r="G272" s="3">
        <v>387.5</v>
      </c>
    </row>
    <row r="273" spans="1:7" x14ac:dyDescent="0.25">
      <c r="A273" s="1">
        <v>4</v>
      </c>
      <c r="B273" s="1" t="s">
        <v>19</v>
      </c>
      <c r="C273" s="1" t="s">
        <v>39</v>
      </c>
      <c r="D273" s="1">
        <v>1997</v>
      </c>
      <c r="E273" s="1" t="s">
        <v>91</v>
      </c>
      <c r="F273" s="1">
        <v>12</v>
      </c>
      <c r="G273" s="3">
        <v>338.2</v>
      </c>
    </row>
    <row r="274" spans="1:7" x14ac:dyDescent="0.25">
      <c r="A274" s="1">
        <v>3</v>
      </c>
      <c r="B274" s="1" t="s">
        <v>10</v>
      </c>
      <c r="C274" s="1" t="s">
        <v>39</v>
      </c>
      <c r="D274" s="1">
        <v>1997</v>
      </c>
      <c r="E274" s="1" t="s">
        <v>86</v>
      </c>
      <c r="F274" s="1">
        <v>5</v>
      </c>
      <c r="G274" s="3">
        <v>155</v>
      </c>
    </row>
    <row r="275" spans="1:7" x14ac:dyDescent="0.25">
      <c r="A275" s="1">
        <v>4</v>
      </c>
      <c r="B275" s="1" t="s">
        <v>19</v>
      </c>
      <c r="C275" s="1" t="s">
        <v>40</v>
      </c>
      <c r="D275" s="1">
        <v>1997</v>
      </c>
      <c r="E275" s="1" t="s">
        <v>17</v>
      </c>
      <c r="F275" s="1">
        <v>29</v>
      </c>
      <c r="G275" s="3">
        <v>2775.05</v>
      </c>
    </row>
    <row r="276" spans="1:7" x14ac:dyDescent="0.25">
      <c r="A276" s="1">
        <v>7</v>
      </c>
      <c r="B276" s="1" t="s">
        <v>7</v>
      </c>
      <c r="C276" s="1" t="s">
        <v>40</v>
      </c>
      <c r="D276" s="1">
        <v>1997</v>
      </c>
      <c r="E276" s="1" t="s">
        <v>87</v>
      </c>
      <c r="F276" s="1">
        <v>34</v>
      </c>
      <c r="G276" s="3">
        <v>683.29999899999996</v>
      </c>
    </row>
    <row r="277" spans="1:7" x14ac:dyDescent="0.25">
      <c r="A277" s="1">
        <v>6</v>
      </c>
      <c r="B277" s="1" t="s">
        <v>7</v>
      </c>
      <c r="C277" s="1" t="s">
        <v>97</v>
      </c>
      <c r="D277" s="1">
        <v>1997</v>
      </c>
      <c r="E277" s="1" t="s">
        <v>91</v>
      </c>
      <c r="F277" s="1">
        <v>34</v>
      </c>
      <c r="G277" s="3">
        <v>1020</v>
      </c>
    </row>
    <row r="278" spans="1:7" x14ac:dyDescent="0.25">
      <c r="A278" s="1">
        <v>1</v>
      </c>
      <c r="B278" s="1" t="s">
        <v>19</v>
      </c>
      <c r="C278" s="1" t="s">
        <v>97</v>
      </c>
      <c r="D278" s="1">
        <v>1997</v>
      </c>
      <c r="E278" s="1" t="s">
        <v>23</v>
      </c>
      <c r="F278" s="1">
        <v>78</v>
      </c>
      <c r="G278" s="3">
        <v>3424</v>
      </c>
    </row>
    <row r="279" spans="1:7" x14ac:dyDescent="0.25">
      <c r="A279" s="1">
        <v>2</v>
      </c>
      <c r="B279" s="1" t="s">
        <v>19</v>
      </c>
      <c r="C279" s="1" t="s">
        <v>97</v>
      </c>
      <c r="D279" s="1">
        <v>1997</v>
      </c>
      <c r="E279" s="1" t="s">
        <v>12</v>
      </c>
      <c r="F279" s="1">
        <v>65</v>
      </c>
      <c r="G279" s="3">
        <v>1498.35</v>
      </c>
    </row>
    <row r="280" spans="1:7" x14ac:dyDescent="0.25">
      <c r="A280" s="1">
        <v>4</v>
      </c>
      <c r="B280" s="1" t="s">
        <v>19</v>
      </c>
      <c r="C280" s="1" t="s">
        <v>97</v>
      </c>
      <c r="D280" s="1">
        <v>1997</v>
      </c>
      <c r="E280" s="1" t="s">
        <v>9</v>
      </c>
      <c r="F280" s="1">
        <v>61</v>
      </c>
      <c r="G280" s="3">
        <v>1119.9349999999999</v>
      </c>
    </row>
    <row r="281" spans="1:7" x14ac:dyDescent="0.25">
      <c r="A281" s="1">
        <v>7</v>
      </c>
      <c r="B281" s="1" t="s">
        <v>7</v>
      </c>
      <c r="C281" s="1" t="s">
        <v>97</v>
      </c>
      <c r="D281" s="1">
        <v>1997</v>
      </c>
      <c r="E281" s="1" t="s">
        <v>15</v>
      </c>
      <c r="F281" s="1">
        <v>20</v>
      </c>
      <c r="G281" s="3">
        <v>223.99999919999999</v>
      </c>
    </row>
    <row r="282" spans="1:7" x14ac:dyDescent="0.25">
      <c r="A282" s="1">
        <v>6</v>
      </c>
      <c r="B282" s="1" t="s">
        <v>7</v>
      </c>
      <c r="C282" s="1" t="s">
        <v>97</v>
      </c>
      <c r="D282" s="1">
        <v>1997</v>
      </c>
      <c r="E282" s="1" t="s">
        <v>15</v>
      </c>
      <c r="F282" s="1">
        <v>23</v>
      </c>
      <c r="G282" s="3">
        <v>722.49999490000005</v>
      </c>
    </row>
    <row r="283" spans="1:7" x14ac:dyDescent="0.25">
      <c r="A283" s="1">
        <v>3</v>
      </c>
      <c r="B283" s="1" t="s">
        <v>10</v>
      </c>
      <c r="C283" s="1" t="s">
        <v>98</v>
      </c>
      <c r="D283" s="1">
        <v>1997</v>
      </c>
      <c r="E283" s="1" t="s">
        <v>9</v>
      </c>
      <c r="F283" s="1">
        <v>70</v>
      </c>
      <c r="G283" s="3">
        <v>1287.399999</v>
      </c>
    </row>
    <row r="284" spans="1:7" x14ac:dyDescent="0.25">
      <c r="A284" s="1">
        <v>6</v>
      </c>
      <c r="B284" s="1" t="s">
        <v>7</v>
      </c>
      <c r="C284" s="1" t="s">
        <v>98</v>
      </c>
      <c r="D284" s="1">
        <v>1997</v>
      </c>
      <c r="E284" s="1" t="s">
        <v>9</v>
      </c>
      <c r="F284" s="1">
        <v>37</v>
      </c>
      <c r="G284" s="3">
        <v>604.21499900000003</v>
      </c>
    </row>
    <row r="285" spans="1:7" x14ac:dyDescent="0.25">
      <c r="A285" s="1">
        <v>6</v>
      </c>
      <c r="B285" s="1" t="s">
        <v>7</v>
      </c>
      <c r="C285" s="1" t="s">
        <v>98</v>
      </c>
      <c r="D285" s="1">
        <v>1997</v>
      </c>
      <c r="E285" s="1" t="s">
        <v>87</v>
      </c>
      <c r="F285" s="1">
        <v>20</v>
      </c>
      <c r="G285" s="3">
        <v>392.19999990000002</v>
      </c>
    </row>
    <row r="286" spans="1:7" x14ac:dyDescent="0.25">
      <c r="A286" s="1">
        <v>8</v>
      </c>
      <c r="B286" s="1" t="s">
        <v>13</v>
      </c>
      <c r="C286" s="1" t="s">
        <v>98</v>
      </c>
      <c r="D286" s="1">
        <v>1997</v>
      </c>
      <c r="E286" s="1" t="s">
        <v>21</v>
      </c>
      <c r="F286" s="1">
        <v>4</v>
      </c>
      <c r="G286" s="3">
        <v>72</v>
      </c>
    </row>
    <row r="287" spans="1:7" x14ac:dyDescent="0.25">
      <c r="A287" s="1">
        <v>1</v>
      </c>
      <c r="B287" s="1" t="s">
        <v>19</v>
      </c>
      <c r="C287" s="1" t="s">
        <v>98</v>
      </c>
      <c r="D287" s="1">
        <v>1997</v>
      </c>
      <c r="E287" s="1" t="s">
        <v>21</v>
      </c>
      <c r="F287" s="1">
        <v>59</v>
      </c>
      <c r="G287" s="3">
        <v>4806.9999969999999</v>
      </c>
    </row>
    <row r="288" spans="1:7" x14ac:dyDescent="0.25">
      <c r="A288" s="1">
        <v>4</v>
      </c>
      <c r="B288" s="1" t="s">
        <v>19</v>
      </c>
      <c r="C288" s="1" t="s">
        <v>98</v>
      </c>
      <c r="D288" s="1">
        <v>1997</v>
      </c>
      <c r="E288" s="1" t="s">
        <v>21</v>
      </c>
      <c r="F288" s="1">
        <v>30</v>
      </c>
      <c r="G288" s="3">
        <v>1402.49999</v>
      </c>
    </row>
    <row r="289" spans="1:7" x14ac:dyDescent="0.25">
      <c r="A289" s="1">
        <v>3</v>
      </c>
      <c r="B289" s="1" t="s">
        <v>10</v>
      </c>
      <c r="C289" s="1" t="s">
        <v>41</v>
      </c>
      <c r="D289" s="1">
        <v>1997</v>
      </c>
      <c r="E289" s="1" t="s">
        <v>15</v>
      </c>
      <c r="F289" s="1">
        <v>90</v>
      </c>
      <c r="G289" s="3">
        <v>2341.3639920000001</v>
      </c>
    </row>
    <row r="290" spans="1:7" x14ac:dyDescent="0.25">
      <c r="A290" s="1">
        <v>9</v>
      </c>
      <c r="B290" s="1" t="s">
        <v>13</v>
      </c>
      <c r="C290" s="1" t="s">
        <v>41</v>
      </c>
      <c r="D290" s="1">
        <v>1997</v>
      </c>
      <c r="E290" s="1" t="s">
        <v>23</v>
      </c>
      <c r="F290" s="1">
        <v>24</v>
      </c>
      <c r="G290" s="3">
        <v>378</v>
      </c>
    </row>
    <row r="291" spans="1:7" x14ac:dyDescent="0.25">
      <c r="A291" s="1">
        <v>4</v>
      </c>
      <c r="B291" s="1" t="s">
        <v>19</v>
      </c>
      <c r="C291" s="1" t="s">
        <v>41</v>
      </c>
      <c r="D291" s="1">
        <v>1997</v>
      </c>
      <c r="E291" s="1" t="s">
        <v>17</v>
      </c>
      <c r="F291" s="1">
        <v>110</v>
      </c>
      <c r="G291" s="3">
        <v>2054</v>
      </c>
    </row>
    <row r="292" spans="1:7" x14ac:dyDescent="0.25">
      <c r="A292" s="1">
        <v>4</v>
      </c>
      <c r="B292" s="1" t="s">
        <v>19</v>
      </c>
      <c r="C292" s="1" t="s">
        <v>41</v>
      </c>
      <c r="D292" s="1">
        <v>1997</v>
      </c>
      <c r="E292" s="1" t="s">
        <v>21</v>
      </c>
      <c r="F292" s="1">
        <v>48</v>
      </c>
      <c r="G292" s="3">
        <v>353.19999990000002</v>
      </c>
    </row>
    <row r="293" spans="1:7" x14ac:dyDescent="0.25">
      <c r="A293" s="1">
        <v>7</v>
      </c>
      <c r="B293" s="1" t="s">
        <v>7</v>
      </c>
      <c r="C293" s="1" t="s">
        <v>41</v>
      </c>
      <c r="D293" s="1">
        <v>1997</v>
      </c>
      <c r="E293" s="1" t="s">
        <v>21</v>
      </c>
      <c r="F293" s="1">
        <v>95</v>
      </c>
      <c r="G293" s="3">
        <v>2285</v>
      </c>
    </row>
    <row r="294" spans="1:7" x14ac:dyDescent="0.25">
      <c r="A294" s="1">
        <v>2</v>
      </c>
      <c r="B294" s="1" t="s">
        <v>19</v>
      </c>
      <c r="C294" s="1" t="s">
        <v>41</v>
      </c>
      <c r="D294" s="1">
        <v>1997</v>
      </c>
      <c r="E294" s="1" t="s">
        <v>87</v>
      </c>
      <c r="F294" s="1">
        <v>48</v>
      </c>
      <c r="G294" s="3">
        <v>880.5</v>
      </c>
    </row>
    <row r="295" spans="1:7" x14ac:dyDescent="0.25">
      <c r="A295" s="1">
        <v>7</v>
      </c>
      <c r="B295" s="1" t="s">
        <v>7</v>
      </c>
      <c r="C295" s="1" t="s">
        <v>41</v>
      </c>
      <c r="D295" s="1">
        <v>1997</v>
      </c>
      <c r="E295" s="1" t="s">
        <v>89</v>
      </c>
      <c r="F295" s="1">
        <v>126</v>
      </c>
      <c r="G295" s="3">
        <v>3163.2</v>
      </c>
    </row>
    <row r="296" spans="1:7" x14ac:dyDescent="0.25">
      <c r="A296" s="1">
        <v>1</v>
      </c>
      <c r="B296" s="1" t="s">
        <v>19</v>
      </c>
      <c r="C296" s="1" t="s">
        <v>41</v>
      </c>
      <c r="D296" s="1">
        <v>1997</v>
      </c>
      <c r="E296" s="1" t="s">
        <v>89</v>
      </c>
      <c r="F296" s="1">
        <v>46</v>
      </c>
      <c r="G296" s="3">
        <v>1272</v>
      </c>
    </row>
    <row r="297" spans="1:7" x14ac:dyDescent="0.25">
      <c r="A297" s="1">
        <v>8</v>
      </c>
      <c r="B297" s="1" t="s">
        <v>13</v>
      </c>
      <c r="C297" s="1" t="s">
        <v>41</v>
      </c>
      <c r="D297" s="1">
        <v>1997</v>
      </c>
      <c r="E297" s="1" t="s">
        <v>85</v>
      </c>
      <c r="F297" s="1">
        <v>49</v>
      </c>
      <c r="G297" s="3">
        <v>575</v>
      </c>
    </row>
    <row r="298" spans="1:7" x14ac:dyDescent="0.25">
      <c r="A298" s="1">
        <v>8</v>
      </c>
      <c r="B298" s="1" t="s">
        <v>13</v>
      </c>
      <c r="C298" s="1" t="s">
        <v>41</v>
      </c>
      <c r="D298" s="1">
        <v>1997</v>
      </c>
      <c r="E298" s="1" t="s">
        <v>89</v>
      </c>
      <c r="F298" s="1">
        <v>14</v>
      </c>
      <c r="G298" s="3">
        <v>180.48</v>
      </c>
    </row>
    <row r="299" spans="1:7" x14ac:dyDescent="0.25">
      <c r="A299" s="1">
        <v>4</v>
      </c>
      <c r="B299" s="1" t="s">
        <v>19</v>
      </c>
      <c r="C299" s="1" t="s">
        <v>42</v>
      </c>
      <c r="D299" s="1">
        <v>1997</v>
      </c>
      <c r="E299" s="1" t="s">
        <v>15</v>
      </c>
      <c r="F299" s="1">
        <v>15</v>
      </c>
      <c r="G299" s="3">
        <v>1442.5</v>
      </c>
    </row>
    <row r="300" spans="1:7" x14ac:dyDescent="0.25">
      <c r="A300" s="1">
        <v>1</v>
      </c>
      <c r="B300" s="1" t="s">
        <v>19</v>
      </c>
      <c r="C300" s="1" t="s">
        <v>42</v>
      </c>
      <c r="D300" s="1">
        <v>1997</v>
      </c>
      <c r="E300" s="1" t="s">
        <v>23</v>
      </c>
      <c r="F300" s="1">
        <v>50</v>
      </c>
      <c r="G300" s="3">
        <v>862.5</v>
      </c>
    </row>
    <row r="301" spans="1:7" x14ac:dyDescent="0.25">
      <c r="A301" s="1">
        <v>4</v>
      </c>
      <c r="B301" s="1" t="s">
        <v>19</v>
      </c>
      <c r="C301" s="1" t="s">
        <v>42</v>
      </c>
      <c r="D301" s="1">
        <v>1997</v>
      </c>
      <c r="E301" s="1" t="s">
        <v>17</v>
      </c>
      <c r="F301" s="1">
        <v>35</v>
      </c>
      <c r="G301" s="3">
        <v>1535</v>
      </c>
    </row>
    <row r="302" spans="1:7" x14ac:dyDescent="0.25">
      <c r="A302" s="1">
        <v>2</v>
      </c>
      <c r="B302" s="1" t="s">
        <v>19</v>
      </c>
      <c r="C302" s="1" t="s">
        <v>42</v>
      </c>
      <c r="D302" s="1">
        <v>1997</v>
      </c>
      <c r="E302" s="1" t="s">
        <v>87</v>
      </c>
      <c r="F302" s="1">
        <v>84</v>
      </c>
      <c r="G302" s="3">
        <v>1946.5199970000001</v>
      </c>
    </row>
    <row r="303" spans="1:7" x14ac:dyDescent="0.25">
      <c r="A303" s="1">
        <v>8</v>
      </c>
      <c r="B303" s="1" t="s">
        <v>13</v>
      </c>
      <c r="C303" s="1" t="s">
        <v>42</v>
      </c>
      <c r="D303" s="1">
        <v>1997</v>
      </c>
      <c r="E303" s="1" t="s">
        <v>15</v>
      </c>
      <c r="F303" s="1">
        <v>15</v>
      </c>
      <c r="G303" s="3">
        <v>236.25</v>
      </c>
    </row>
    <row r="304" spans="1:7" x14ac:dyDescent="0.25">
      <c r="A304" s="1">
        <v>8</v>
      </c>
      <c r="B304" s="1" t="s">
        <v>13</v>
      </c>
      <c r="C304" s="1" t="s">
        <v>43</v>
      </c>
      <c r="D304" s="1">
        <v>1997</v>
      </c>
      <c r="E304" s="1" t="s">
        <v>9</v>
      </c>
      <c r="F304" s="1">
        <v>21</v>
      </c>
      <c r="G304" s="3">
        <v>1701</v>
      </c>
    </row>
    <row r="305" spans="1:7" x14ac:dyDescent="0.25">
      <c r="A305" s="1">
        <v>3</v>
      </c>
      <c r="B305" s="1" t="s">
        <v>10</v>
      </c>
      <c r="C305" s="1" t="s">
        <v>43</v>
      </c>
      <c r="D305" s="1">
        <v>1997</v>
      </c>
      <c r="E305" s="1" t="s">
        <v>91</v>
      </c>
      <c r="F305" s="1">
        <v>22</v>
      </c>
      <c r="G305" s="3">
        <v>102.4</v>
      </c>
    </row>
    <row r="306" spans="1:7" x14ac:dyDescent="0.25">
      <c r="A306" s="1">
        <v>4</v>
      </c>
      <c r="B306" s="1" t="s">
        <v>19</v>
      </c>
      <c r="C306" s="1" t="s">
        <v>43</v>
      </c>
      <c r="D306" s="1">
        <v>1997</v>
      </c>
      <c r="E306" s="1" t="s">
        <v>21</v>
      </c>
      <c r="F306" s="1">
        <v>34</v>
      </c>
      <c r="G306" s="3">
        <v>479.8</v>
      </c>
    </row>
    <row r="307" spans="1:7" x14ac:dyDescent="0.25">
      <c r="A307" s="1">
        <v>3</v>
      </c>
      <c r="B307" s="1" t="s">
        <v>10</v>
      </c>
      <c r="C307" s="1" t="s">
        <v>44</v>
      </c>
      <c r="D307" s="1">
        <v>1997</v>
      </c>
      <c r="E307" s="1" t="s">
        <v>91</v>
      </c>
      <c r="F307" s="1">
        <v>75</v>
      </c>
      <c r="G307" s="3">
        <v>1441.375</v>
      </c>
    </row>
    <row r="308" spans="1:7" x14ac:dyDescent="0.25">
      <c r="A308" s="1">
        <v>2</v>
      </c>
      <c r="B308" s="1" t="s">
        <v>19</v>
      </c>
      <c r="C308" s="1" t="s">
        <v>44</v>
      </c>
      <c r="D308" s="1">
        <v>1997</v>
      </c>
      <c r="E308" s="1" t="s">
        <v>85</v>
      </c>
      <c r="F308" s="1">
        <v>125</v>
      </c>
      <c r="G308" s="3">
        <v>2381.0499970000001</v>
      </c>
    </row>
    <row r="309" spans="1:7" x14ac:dyDescent="0.25">
      <c r="A309" s="1">
        <v>6</v>
      </c>
      <c r="B309" s="1" t="s">
        <v>7</v>
      </c>
      <c r="C309" s="1" t="s">
        <v>44</v>
      </c>
      <c r="D309" s="1">
        <v>1997</v>
      </c>
      <c r="E309" s="1" t="s">
        <v>85</v>
      </c>
      <c r="F309" s="1">
        <v>90</v>
      </c>
      <c r="G309" s="3">
        <v>2048.5</v>
      </c>
    </row>
    <row r="310" spans="1:7" x14ac:dyDescent="0.25">
      <c r="A310" s="1">
        <v>9</v>
      </c>
      <c r="B310" s="1" t="s">
        <v>13</v>
      </c>
      <c r="C310" s="1" t="s">
        <v>44</v>
      </c>
      <c r="D310" s="1">
        <v>1997</v>
      </c>
      <c r="E310" s="1" t="s">
        <v>12</v>
      </c>
      <c r="F310" s="1">
        <v>60</v>
      </c>
      <c r="G310" s="3">
        <v>997</v>
      </c>
    </row>
    <row r="311" spans="1:7" x14ac:dyDescent="0.25">
      <c r="A311" s="1">
        <v>3</v>
      </c>
      <c r="B311" s="1" t="s">
        <v>10</v>
      </c>
      <c r="C311" s="1" t="s">
        <v>44</v>
      </c>
      <c r="D311" s="1">
        <v>1997</v>
      </c>
      <c r="E311" s="1" t="s">
        <v>23</v>
      </c>
      <c r="F311" s="1">
        <v>33</v>
      </c>
      <c r="G311" s="3">
        <v>1233.48</v>
      </c>
    </row>
    <row r="312" spans="1:7" x14ac:dyDescent="0.25">
      <c r="A312" s="1">
        <v>6</v>
      </c>
      <c r="B312" s="1" t="s">
        <v>7</v>
      </c>
      <c r="C312" s="1" t="s">
        <v>44</v>
      </c>
      <c r="D312" s="1">
        <v>1997</v>
      </c>
      <c r="E312" s="1" t="s">
        <v>23</v>
      </c>
      <c r="F312" s="1">
        <v>97</v>
      </c>
      <c r="G312" s="3">
        <v>2864.4999800000001</v>
      </c>
    </row>
    <row r="313" spans="1:7" x14ac:dyDescent="0.25">
      <c r="A313" s="1">
        <v>9</v>
      </c>
      <c r="B313" s="1" t="s">
        <v>13</v>
      </c>
      <c r="C313" s="1" t="s">
        <v>44</v>
      </c>
      <c r="D313" s="1">
        <v>1997</v>
      </c>
      <c r="E313" s="1" t="s">
        <v>9</v>
      </c>
      <c r="F313" s="1">
        <v>66</v>
      </c>
      <c r="G313" s="3">
        <v>4960.8999999999996</v>
      </c>
    </row>
    <row r="314" spans="1:7" x14ac:dyDescent="0.25">
      <c r="A314" s="1">
        <v>7</v>
      </c>
      <c r="B314" s="1" t="s">
        <v>7</v>
      </c>
      <c r="C314" s="1" t="s">
        <v>44</v>
      </c>
      <c r="D314" s="1">
        <v>1997</v>
      </c>
      <c r="E314" s="1" t="s">
        <v>9</v>
      </c>
      <c r="F314" s="1">
        <v>52</v>
      </c>
      <c r="G314" s="3">
        <v>562.59999789999995</v>
      </c>
    </row>
    <row r="315" spans="1:7" x14ac:dyDescent="0.25">
      <c r="A315" s="1">
        <v>9</v>
      </c>
      <c r="B315" s="1" t="s">
        <v>13</v>
      </c>
      <c r="C315" s="1" t="s">
        <v>44</v>
      </c>
      <c r="D315" s="1">
        <v>1997</v>
      </c>
      <c r="E315" s="1" t="s">
        <v>17</v>
      </c>
      <c r="F315" s="1">
        <v>98</v>
      </c>
      <c r="G315" s="3">
        <v>1446</v>
      </c>
    </row>
    <row r="316" spans="1:7" x14ac:dyDescent="0.25">
      <c r="A316" s="1">
        <v>1</v>
      </c>
      <c r="B316" s="1" t="s">
        <v>19</v>
      </c>
      <c r="C316" s="1" t="s">
        <v>44</v>
      </c>
      <c r="D316" s="1">
        <v>1997</v>
      </c>
      <c r="E316" s="1" t="s">
        <v>86</v>
      </c>
      <c r="F316" s="1">
        <v>103</v>
      </c>
      <c r="G316" s="3">
        <v>2518.9999910000001</v>
      </c>
    </row>
    <row r="317" spans="1:7" x14ac:dyDescent="0.25">
      <c r="A317" s="1">
        <v>1</v>
      </c>
      <c r="B317" s="1" t="s">
        <v>19</v>
      </c>
      <c r="C317" s="1" t="s">
        <v>45</v>
      </c>
      <c r="D317" s="1">
        <v>1997</v>
      </c>
      <c r="E317" s="1" t="s">
        <v>89</v>
      </c>
      <c r="F317" s="1">
        <v>24</v>
      </c>
      <c r="G317" s="3">
        <v>230.4</v>
      </c>
    </row>
    <row r="318" spans="1:7" x14ac:dyDescent="0.25">
      <c r="A318" s="1">
        <v>4</v>
      </c>
      <c r="B318" s="1" t="s">
        <v>19</v>
      </c>
      <c r="C318" s="1" t="s">
        <v>45</v>
      </c>
      <c r="D318" s="1">
        <v>1997</v>
      </c>
      <c r="E318" s="1" t="s">
        <v>12</v>
      </c>
      <c r="F318" s="1">
        <v>31</v>
      </c>
      <c r="G318" s="3">
        <v>1080</v>
      </c>
    </row>
    <row r="319" spans="1:7" x14ac:dyDescent="0.25">
      <c r="A319" s="1">
        <v>4</v>
      </c>
      <c r="B319" s="1" t="s">
        <v>19</v>
      </c>
      <c r="C319" s="1" t="s">
        <v>45</v>
      </c>
      <c r="D319" s="1">
        <v>1997</v>
      </c>
      <c r="E319" s="1" t="s">
        <v>9</v>
      </c>
      <c r="F319" s="1">
        <v>5</v>
      </c>
      <c r="G319" s="3">
        <v>45</v>
      </c>
    </row>
    <row r="320" spans="1:7" x14ac:dyDescent="0.25">
      <c r="A320" s="1">
        <v>4</v>
      </c>
      <c r="B320" s="1" t="s">
        <v>19</v>
      </c>
      <c r="C320" s="1" t="s">
        <v>45</v>
      </c>
      <c r="D320" s="1">
        <v>1997</v>
      </c>
      <c r="E320" s="1" t="s">
        <v>17</v>
      </c>
      <c r="F320" s="1">
        <v>50</v>
      </c>
      <c r="G320" s="3">
        <v>758.5</v>
      </c>
    </row>
    <row r="321" spans="1:7" x14ac:dyDescent="0.25">
      <c r="A321" s="1">
        <v>2</v>
      </c>
      <c r="B321" s="1" t="s">
        <v>19</v>
      </c>
      <c r="C321" s="1" t="s">
        <v>45</v>
      </c>
      <c r="D321" s="1">
        <v>1997</v>
      </c>
      <c r="E321" s="1" t="s">
        <v>15</v>
      </c>
      <c r="F321" s="1">
        <v>12</v>
      </c>
      <c r="G321" s="3">
        <v>446.6</v>
      </c>
    </row>
    <row r="322" spans="1:7" x14ac:dyDescent="0.25">
      <c r="A322" s="1">
        <v>1</v>
      </c>
      <c r="B322" s="1" t="s">
        <v>19</v>
      </c>
      <c r="C322" s="1" t="s">
        <v>46</v>
      </c>
      <c r="D322" s="1">
        <v>1997</v>
      </c>
      <c r="E322" s="1" t="s">
        <v>87</v>
      </c>
      <c r="F322" s="1">
        <v>39</v>
      </c>
      <c r="G322" s="3">
        <v>469.10999959999998</v>
      </c>
    </row>
    <row r="323" spans="1:7" x14ac:dyDescent="0.25">
      <c r="A323" s="1">
        <v>9</v>
      </c>
      <c r="B323" s="1" t="s">
        <v>13</v>
      </c>
      <c r="C323" s="1" t="s">
        <v>46</v>
      </c>
      <c r="D323" s="1">
        <v>1997</v>
      </c>
      <c r="E323" s="1" t="s">
        <v>85</v>
      </c>
      <c r="F323" s="1">
        <v>32</v>
      </c>
      <c r="G323" s="3">
        <v>415.79999930000002</v>
      </c>
    </row>
    <row r="324" spans="1:7" x14ac:dyDescent="0.25">
      <c r="A324" s="1">
        <v>3</v>
      </c>
      <c r="B324" s="1" t="s">
        <v>10</v>
      </c>
      <c r="C324" s="1" t="s">
        <v>46</v>
      </c>
      <c r="D324" s="1">
        <v>1997</v>
      </c>
      <c r="E324" s="1" t="s">
        <v>89</v>
      </c>
      <c r="F324" s="1">
        <v>23</v>
      </c>
      <c r="G324" s="3">
        <v>717.6</v>
      </c>
    </row>
    <row r="325" spans="1:7" x14ac:dyDescent="0.25">
      <c r="A325" s="1">
        <v>1</v>
      </c>
      <c r="B325" s="1" t="s">
        <v>19</v>
      </c>
      <c r="C325" s="1" t="s">
        <v>46</v>
      </c>
      <c r="D325" s="1">
        <v>1997</v>
      </c>
      <c r="E325" s="1" t="s">
        <v>23</v>
      </c>
      <c r="F325" s="1">
        <v>116</v>
      </c>
      <c r="G325" s="3">
        <v>3463</v>
      </c>
    </row>
    <row r="326" spans="1:7" x14ac:dyDescent="0.25">
      <c r="A326" s="1">
        <v>1</v>
      </c>
      <c r="B326" s="1" t="s">
        <v>19</v>
      </c>
      <c r="C326" s="1" t="s">
        <v>46</v>
      </c>
      <c r="D326" s="1">
        <v>1997</v>
      </c>
      <c r="E326" s="1" t="s">
        <v>17</v>
      </c>
      <c r="F326" s="1">
        <v>47</v>
      </c>
      <c r="G326" s="3">
        <v>903.59999979999998</v>
      </c>
    </row>
    <row r="327" spans="1:7" x14ac:dyDescent="0.25">
      <c r="A327" s="1">
        <v>2</v>
      </c>
      <c r="B327" s="1" t="s">
        <v>19</v>
      </c>
      <c r="C327" s="1" t="s">
        <v>46</v>
      </c>
      <c r="D327" s="1">
        <v>1997</v>
      </c>
      <c r="E327" s="1" t="s">
        <v>88</v>
      </c>
      <c r="F327" s="1">
        <v>36</v>
      </c>
      <c r="G327" s="3">
        <v>1584</v>
      </c>
    </row>
    <row r="328" spans="1:7" x14ac:dyDescent="0.25">
      <c r="A328" s="1">
        <v>8</v>
      </c>
      <c r="B328" s="1" t="s">
        <v>13</v>
      </c>
      <c r="C328" s="1" t="s">
        <v>46</v>
      </c>
      <c r="D328" s="1">
        <v>1997</v>
      </c>
      <c r="E328" s="1" t="s">
        <v>88</v>
      </c>
      <c r="F328" s="1">
        <v>61</v>
      </c>
      <c r="G328" s="3">
        <v>557.5999961</v>
      </c>
    </row>
    <row r="329" spans="1:7" x14ac:dyDescent="0.25">
      <c r="A329" s="1">
        <v>9</v>
      </c>
      <c r="B329" s="1" t="s">
        <v>13</v>
      </c>
      <c r="C329" s="1" t="s">
        <v>46</v>
      </c>
      <c r="D329" s="1">
        <v>1997</v>
      </c>
      <c r="E329" s="1" t="s">
        <v>15</v>
      </c>
      <c r="F329" s="1">
        <v>65</v>
      </c>
      <c r="G329" s="3">
        <v>1553.4999989999999</v>
      </c>
    </row>
    <row r="330" spans="1:7" x14ac:dyDescent="0.25">
      <c r="A330" s="1">
        <v>8</v>
      </c>
      <c r="B330" s="1" t="s">
        <v>13</v>
      </c>
      <c r="C330" s="1" t="s">
        <v>47</v>
      </c>
      <c r="D330" s="1">
        <v>1997</v>
      </c>
      <c r="E330" s="1" t="s">
        <v>87</v>
      </c>
      <c r="F330" s="1">
        <v>100</v>
      </c>
      <c r="G330" s="3">
        <v>1504.4999889999999</v>
      </c>
    </row>
    <row r="331" spans="1:7" x14ac:dyDescent="0.25">
      <c r="A331" s="1">
        <v>4</v>
      </c>
      <c r="B331" s="1" t="s">
        <v>19</v>
      </c>
      <c r="C331" s="1" t="s">
        <v>47</v>
      </c>
      <c r="D331" s="1">
        <v>1997</v>
      </c>
      <c r="E331" s="1" t="s">
        <v>85</v>
      </c>
      <c r="F331" s="1">
        <v>45</v>
      </c>
      <c r="G331" s="3">
        <v>1412</v>
      </c>
    </row>
    <row r="332" spans="1:7" x14ac:dyDescent="0.25">
      <c r="A332" s="1">
        <v>2</v>
      </c>
      <c r="B332" s="1" t="s">
        <v>19</v>
      </c>
      <c r="C332" s="1" t="s">
        <v>47</v>
      </c>
      <c r="D332" s="1">
        <v>1997</v>
      </c>
      <c r="E332" s="1" t="s">
        <v>15</v>
      </c>
      <c r="F332" s="1">
        <v>50</v>
      </c>
      <c r="G332" s="3">
        <v>720</v>
      </c>
    </row>
    <row r="333" spans="1:7" x14ac:dyDescent="0.25">
      <c r="A333" s="1">
        <v>1</v>
      </c>
      <c r="B333" s="1" t="s">
        <v>19</v>
      </c>
      <c r="C333" s="1" t="s">
        <v>47</v>
      </c>
      <c r="D333" s="1">
        <v>1997</v>
      </c>
      <c r="E333" s="1" t="s">
        <v>88</v>
      </c>
      <c r="F333" s="1">
        <v>128</v>
      </c>
      <c r="G333" s="3">
        <v>1538.7</v>
      </c>
    </row>
    <row r="334" spans="1:7" x14ac:dyDescent="0.25">
      <c r="A334" s="1">
        <v>4</v>
      </c>
      <c r="B334" s="1" t="s">
        <v>19</v>
      </c>
      <c r="C334" s="1" t="s">
        <v>99</v>
      </c>
      <c r="D334" s="1">
        <v>1997</v>
      </c>
      <c r="E334" s="1" t="s">
        <v>89</v>
      </c>
      <c r="F334" s="1">
        <v>130</v>
      </c>
      <c r="G334" s="3">
        <v>1583.9999969999999</v>
      </c>
    </row>
    <row r="335" spans="1:7" x14ac:dyDescent="0.25">
      <c r="A335" s="1">
        <v>8</v>
      </c>
      <c r="B335" s="1" t="s">
        <v>13</v>
      </c>
      <c r="C335" s="1" t="s">
        <v>99</v>
      </c>
      <c r="D335" s="1">
        <v>1997</v>
      </c>
      <c r="E335" s="1" t="s">
        <v>12</v>
      </c>
      <c r="F335" s="1">
        <v>120</v>
      </c>
      <c r="G335" s="3">
        <v>1850</v>
      </c>
    </row>
    <row r="336" spans="1:7" x14ac:dyDescent="0.25">
      <c r="A336" s="1">
        <v>3</v>
      </c>
      <c r="B336" s="1" t="s">
        <v>10</v>
      </c>
      <c r="C336" s="1" t="s">
        <v>99</v>
      </c>
      <c r="D336" s="1">
        <v>1997</v>
      </c>
      <c r="E336" s="1" t="s">
        <v>23</v>
      </c>
      <c r="F336" s="1">
        <v>76</v>
      </c>
      <c r="G336" s="3">
        <v>805.42499999999995</v>
      </c>
    </row>
    <row r="337" spans="1:7" x14ac:dyDescent="0.25">
      <c r="A337" s="1">
        <v>1</v>
      </c>
      <c r="B337" s="1" t="s">
        <v>19</v>
      </c>
      <c r="C337" s="1" t="s">
        <v>99</v>
      </c>
      <c r="D337" s="1">
        <v>1997</v>
      </c>
      <c r="E337" s="1" t="s">
        <v>91</v>
      </c>
      <c r="F337" s="1">
        <v>50</v>
      </c>
      <c r="G337" s="3">
        <v>400</v>
      </c>
    </row>
    <row r="338" spans="1:7" x14ac:dyDescent="0.25">
      <c r="A338" s="1">
        <v>3</v>
      </c>
      <c r="B338" s="1" t="s">
        <v>10</v>
      </c>
      <c r="C338" s="1" t="s">
        <v>99</v>
      </c>
      <c r="D338" s="1">
        <v>1997</v>
      </c>
      <c r="E338" s="1" t="s">
        <v>17</v>
      </c>
      <c r="F338" s="1">
        <v>101</v>
      </c>
      <c r="G338" s="3">
        <v>2720.05</v>
      </c>
    </row>
    <row r="339" spans="1:7" x14ac:dyDescent="0.25">
      <c r="A339" s="1">
        <v>6</v>
      </c>
      <c r="B339" s="1" t="s">
        <v>7</v>
      </c>
      <c r="C339" s="1" t="s">
        <v>48</v>
      </c>
      <c r="D339" s="1">
        <v>1997</v>
      </c>
      <c r="E339" s="1" t="s">
        <v>91</v>
      </c>
      <c r="F339" s="1">
        <v>30</v>
      </c>
      <c r="G339" s="3">
        <v>360</v>
      </c>
    </row>
    <row r="340" spans="1:7" x14ac:dyDescent="0.25">
      <c r="A340" s="1">
        <v>8</v>
      </c>
      <c r="B340" s="1" t="s">
        <v>13</v>
      </c>
      <c r="C340" s="1" t="s">
        <v>48</v>
      </c>
      <c r="D340" s="1">
        <v>1997</v>
      </c>
      <c r="E340" s="1" t="s">
        <v>17</v>
      </c>
      <c r="F340" s="1">
        <v>8</v>
      </c>
      <c r="G340" s="3">
        <v>55.799999909999997</v>
      </c>
    </row>
    <row r="341" spans="1:7" x14ac:dyDescent="0.25">
      <c r="A341" s="1">
        <v>3</v>
      </c>
      <c r="B341" s="1" t="s">
        <v>10</v>
      </c>
      <c r="C341" s="1" t="s">
        <v>48</v>
      </c>
      <c r="D341" s="1">
        <v>1997</v>
      </c>
      <c r="E341" s="1" t="s">
        <v>91</v>
      </c>
      <c r="F341" s="1">
        <v>78</v>
      </c>
      <c r="G341" s="3">
        <v>2123.1999999999998</v>
      </c>
    </row>
    <row r="342" spans="1:7" x14ac:dyDescent="0.25">
      <c r="A342" s="1">
        <v>4</v>
      </c>
      <c r="B342" s="1" t="s">
        <v>19</v>
      </c>
      <c r="C342" s="1" t="s">
        <v>48</v>
      </c>
      <c r="D342" s="1">
        <v>1997</v>
      </c>
      <c r="E342" s="1" t="s">
        <v>85</v>
      </c>
      <c r="F342" s="1">
        <v>35</v>
      </c>
      <c r="G342" s="3">
        <v>608.39999899999998</v>
      </c>
    </row>
    <row r="343" spans="1:7" x14ac:dyDescent="0.25">
      <c r="A343" s="1">
        <v>6</v>
      </c>
      <c r="B343" s="1" t="s">
        <v>7</v>
      </c>
      <c r="C343" s="1" t="s">
        <v>48</v>
      </c>
      <c r="D343" s="1">
        <v>1997</v>
      </c>
      <c r="E343" s="1" t="s">
        <v>85</v>
      </c>
      <c r="F343" s="1">
        <v>20</v>
      </c>
      <c r="G343" s="3">
        <v>523.25999960000001</v>
      </c>
    </row>
    <row r="344" spans="1:7" x14ac:dyDescent="0.25">
      <c r="A344" s="1">
        <v>2</v>
      </c>
      <c r="B344" s="1" t="s">
        <v>19</v>
      </c>
      <c r="C344" s="1" t="s">
        <v>48</v>
      </c>
      <c r="D344" s="1">
        <v>1997</v>
      </c>
      <c r="E344" s="1" t="s">
        <v>15</v>
      </c>
      <c r="F344" s="1">
        <v>35</v>
      </c>
      <c r="G344" s="3">
        <v>2622.759998</v>
      </c>
    </row>
    <row r="345" spans="1:7" x14ac:dyDescent="0.25">
      <c r="A345" s="1">
        <v>8</v>
      </c>
      <c r="B345" s="1" t="s">
        <v>13</v>
      </c>
      <c r="C345" s="1" t="s">
        <v>48</v>
      </c>
      <c r="D345" s="1">
        <v>1997</v>
      </c>
      <c r="E345" s="1" t="s">
        <v>21</v>
      </c>
      <c r="F345" s="1">
        <v>21</v>
      </c>
      <c r="G345" s="3">
        <v>299.25</v>
      </c>
    </row>
    <row r="346" spans="1:7" x14ac:dyDescent="0.25">
      <c r="A346" s="1">
        <v>4</v>
      </c>
      <c r="B346" s="1" t="s">
        <v>19</v>
      </c>
      <c r="C346" s="1" t="s">
        <v>48</v>
      </c>
      <c r="D346" s="1">
        <v>1997</v>
      </c>
      <c r="E346" s="1" t="s">
        <v>88</v>
      </c>
      <c r="F346" s="1">
        <v>50</v>
      </c>
      <c r="G346" s="3">
        <v>331.1999988</v>
      </c>
    </row>
    <row r="347" spans="1:7" x14ac:dyDescent="0.25">
      <c r="A347" s="1">
        <v>2</v>
      </c>
      <c r="B347" s="1" t="s">
        <v>19</v>
      </c>
      <c r="C347" s="1" t="s">
        <v>100</v>
      </c>
      <c r="D347" s="1">
        <v>1997</v>
      </c>
      <c r="E347" s="1" t="s">
        <v>17</v>
      </c>
      <c r="F347" s="1">
        <v>10</v>
      </c>
      <c r="G347" s="3">
        <v>57.5</v>
      </c>
    </row>
    <row r="348" spans="1:7" x14ac:dyDescent="0.25">
      <c r="A348" s="1">
        <v>3</v>
      </c>
      <c r="B348" s="1" t="s">
        <v>10</v>
      </c>
      <c r="C348" s="1" t="s">
        <v>100</v>
      </c>
      <c r="D348" s="1">
        <v>1997</v>
      </c>
      <c r="E348" s="1" t="s">
        <v>85</v>
      </c>
      <c r="F348" s="1">
        <v>35</v>
      </c>
      <c r="G348" s="3">
        <v>278</v>
      </c>
    </row>
    <row r="349" spans="1:7" x14ac:dyDescent="0.25">
      <c r="A349" s="1">
        <v>8</v>
      </c>
      <c r="B349" s="1" t="s">
        <v>13</v>
      </c>
      <c r="C349" s="1" t="s">
        <v>101</v>
      </c>
      <c r="D349" s="1">
        <v>1997</v>
      </c>
      <c r="E349" s="1" t="s">
        <v>87</v>
      </c>
      <c r="F349" s="1">
        <v>10</v>
      </c>
      <c r="G349" s="3">
        <v>210</v>
      </c>
    </row>
    <row r="350" spans="1:7" x14ac:dyDescent="0.25">
      <c r="A350" s="1">
        <v>1</v>
      </c>
      <c r="B350" s="1" t="s">
        <v>19</v>
      </c>
      <c r="C350" s="1" t="s">
        <v>101</v>
      </c>
      <c r="D350" s="1">
        <v>1997</v>
      </c>
      <c r="E350" s="1" t="s">
        <v>89</v>
      </c>
      <c r="F350" s="1">
        <v>10</v>
      </c>
      <c r="G350" s="3">
        <v>147</v>
      </c>
    </row>
    <row r="351" spans="1:7" x14ac:dyDescent="0.25">
      <c r="A351" s="1">
        <v>9</v>
      </c>
      <c r="B351" s="1" t="s">
        <v>13</v>
      </c>
      <c r="C351" s="1" t="s">
        <v>49</v>
      </c>
      <c r="D351" s="1">
        <v>1997</v>
      </c>
      <c r="E351" s="1" t="s">
        <v>86</v>
      </c>
      <c r="F351" s="1">
        <v>50</v>
      </c>
      <c r="G351" s="3">
        <v>1152.5</v>
      </c>
    </row>
    <row r="352" spans="1:7" x14ac:dyDescent="0.25">
      <c r="A352" s="1">
        <v>3</v>
      </c>
      <c r="B352" s="1" t="s">
        <v>10</v>
      </c>
      <c r="C352" s="1" t="s">
        <v>49</v>
      </c>
      <c r="D352" s="1">
        <v>1997</v>
      </c>
      <c r="E352" s="1" t="s">
        <v>87</v>
      </c>
      <c r="F352" s="1">
        <v>100</v>
      </c>
      <c r="G352" s="3">
        <v>1645</v>
      </c>
    </row>
    <row r="353" spans="1:7" x14ac:dyDescent="0.25">
      <c r="A353" s="1">
        <v>8</v>
      </c>
      <c r="B353" s="1" t="s">
        <v>13</v>
      </c>
      <c r="C353" s="1" t="s">
        <v>49</v>
      </c>
      <c r="D353" s="1">
        <v>1997</v>
      </c>
      <c r="E353" s="1" t="s">
        <v>87</v>
      </c>
      <c r="F353" s="1">
        <v>30</v>
      </c>
      <c r="G353" s="3">
        <v>465.69999919999998</v>
      </c>
    </row>
    <row r="354" spans="1:7" x14ac:dyDescent="0.25">
      <c r="A354" s="1">
        <v>4</v>
      </c>
      <c r="B354" s="1" t="s">
        <v>19</v>
      </c>
      <c r="C354" s="1" t="s">
        <v>49</v>
      </c>
      <c r="D354" s="1">
        <v>1997</v>
      </c>
      <c r="E354" s="1" t="s">
        <v>85</v>
      </c>
      <c r="F354" s="1">
        <v>109</v>
      </c>
      <c r="G354" s="3">
        <v>2318.2399949999999</v>
      </c>
    </row>
    <row r="355" spans="1:7" x14ac:dyDescent="0.25">
      <c r="A355" s="1">
        <v>7</v>
      </c>
      <c r="B355" s="1" t="s">
        <v>7</v>
      </c>
      <c r="C355" s="1" t="s">
        <v>49</v>
      </c>
      <c r="D355" s="1">
        <v>1997</v>
      </c>
      <c r="E355" s="1" t="s">
        <v>21</v>
      </c>
      <c r="F355" s="1">
        <v>45</v>
      </c>
      <c r="G355" s="3">
        <v>1994.399993</v>
      </c>
    </row>
    <row r="356" spans="1:7" x14ac:dyDescent="0.25">
      <c r="A356" s="1">
        <v>3</v>
      </c>
      <c r="B356" s="1" t="s">
        <v>10</v>
      </c>
      <c r="C356" s="1" t="s">
        <v>49</v>
      </c>
      <c r="D356" s="1">
        <v>1997</v>
      </c>
      <c r="E356" s="1" t="s">
        <v>15</v>
      </c>
      <c r="F356" s="1">
        <v>43</v>
      </c>
      <c r="G356" s="3">
        <v>3603.22</v>
      </c>
    </row>
    <row r="357" spans="1:7" x14ac:dyDescent="0.25">
      <c r="A357" s="1">
        <v>7</v>
      </c>
      <c r="B357" s="1" t="s">
        <v>7</v>
      </c>
      <c r="C357" s="1" t="s">
        <v>49</v>
      </c>
      <c r="D357" s="1">
        <v>1997</v>
      </c>
      <c r="E357" s="1" t="s">
        <v>85</v>
      </c>
      <c r="F357" s="1">
        <v>64</v>
      </c>
      <c r="G357" s="3">
        <v>1380.6</v>
      </c>
    </row>
    <row r="358" spans="1:7" x14ac:dyDescent="0.25">
      <c r="A358" s="1">
        <v>3</v>
      </c>
      <c r="B358" s="1" t="s">
        <v>10</v>
      </c>
      <c r="C358" s="1" t="s">
        <v>49</v>
      </c>
      <c r="D358" s="1">
        <v>1997</v>
      </c>
      <c r="E358" s="1" t="s">
        <v>21</v>
      </c>
      <c r="F358" s="1">
        <v>30</v>
      </c>
      <c r="G358" s="3">
        <v>516.4674996</v>
      </c>
    </row>
    <row r="359" spans="1:7" x14ac:dyDescent="0.25">
      <c r="A359" s="1">
        <v>6</v>
      </c>
      <c r="B359" s="1" t="s">
        <v>7</v>
      </c>
      <c r="C359" s="1" t="s">
        <v>102</v>
      </c>
      <c r="D359" s="1">
        <v>1997</v>
      </c>
      <c r="E359" s="1" t="s">
        <v>12</v>
      </c>
      <c r="F359" s="1">
        <v>22</v>
      </c>
      <c r="G359" s="3">
        <v>536.39999909999995</v>
      </c>
    </row>
    <row r="360" spans="1:7" x14ac:dyDescent="0.25">
      <c r="A360" s="1">
        <v>8</v>
      </c>
      <c r="B360" s="1" t="s">
        <v>13</v>
      </c>
      <c r="C360" s="1" t="s">
        <v>102</v>
      </c>
      <c r="D360" s="1">
        <v>1997</v>
      </c>
      <c r="E360" s="1" t="s">
        <v>23</v>
      </c>
      <c r="F360" s="1">
        <v>55</v>
      </c>
      <c r="G360" s="3">
        <v>844.25250000000005</v>
      </c>
    </row>
    <row r="361" spans="1:7" x14ac:dyDescent="0.25">
      <c r="A361" s="1">
        <v>1</v>
      </c>
      <c r="B361" s="1" t="s">
        <v>19</v>
      </c>
      <c r="C361" s="1" t="s">
        <v>102</v>
      </c>
      <c r="D361" s="1">
        <v>1997</v>
      </c>
      <c r="E361" s="1" t="s">
        <v>86</v>
      </c>
      <c r="F361" s="1">
        <v>31</v>
      </c>
      <c r="G361" s="3">
        <v>317.75</v>
      </c>
    </row>
    <row r="362" spans="1:7" x14ac:dyDescent="0.25">
      <c r="A362" s="1">
        <v>4</v>
      </c>
      <c r="B362" s="1" t="s">
        <v>19</v>
      </c>
      <c r="C362" s="1" t="s">
        <v>50</v>
      </c>
      <c r="D362" s="1">
        <v>1997</v>
      </c>
      <c r="E362" s="1" t="s">
        <v>87</v>
      </c>
      <c r="F362" s="1">
        <v>14</v>
      </c>
      <c r="G362" s="3">
        <v>417.2</v>
      </c>
    </row>
    <row r="363" spans="1:7" x14ac:dyDescent="0.25">
      <c r="A363" s="1">
        <v>1</v>
      </c>
      <c r="B363" s="1" t="s">
        <v>19</v>
      </c>
      <c r="C363" s="1" t="s">
        <v>50</v>
      </c>
      <c r="D363" s="1">
        <v>1997</v>
      </c>
      <c r="E363" s="1" t="s">
        <v>9</v>
      </c>
      <c r="F363" s="1">
        <v>31</v>
      </c>
      <c r="G363" s="3">
        <v>1295</v>
      </c>
    </row>
    <row r="364" spans="1:7" x14ac:dyDescent="0.25">
      <c r="A364" s="1">
        <v>3</v>
      </c>
      <c r="B364" s="1" t="s">
        <v>10</v>
      </c>
      <c r="C364" s="1" t="s">
        <v>50</v>
      </c>
      <c r="D364" s="1">
        <v>1997</v>
      </c>
      <c r="E364" s="1" t="s">
        <v>9</v>
      </c>
      <c r="F364" s="1">
        <v>10</v>
      </c>
      <c r="G364" s="3">
        <v>125</v>
      </c>
    </row>
    <row r="365" spans="1:7" x14ac:dyDescent="0.25">
      <c r="A365" s="1">
        <v>6</v>
      </c>
      <c r="B365" s="1" t="s">
        <v>7</v>
      </c>
      <c r="C365" s="1" t="s">
        <v>51</v>
      </c>
      <c r="D365" s="1">
        <v>1997</v>
      </c>
      <c r="E365" s="1" t="s">
        <v>12</v>
      </c>
      <c r="F365" s="1">
        <v>3</v>
      </c>
      <c r="G365" s="3">
        <v>55.2</v>
      </c>
    </row>
    <row r="366" spans="1:7" x14ac:dyDescent="0.25">
      <c r="A366" s="1">
        <v>2</v>
      </c>
      <c r="B366" s="1" t="s">
        <v>19</v>
      </c>
      <c r="C366" s="1" t="s">
        <v>51</v>
      </c>
      <c r="D366" s="1">
        <v>1997</v>
      </c>
      <c r="E366" s="1" t="s">
        <v>91</v>
      </c>
      <c r="F366" s="1">
        <v>100</v>
      </c>
      <c r="G366" s="3">
        <v>1591.2499989999999</v>
      </c>
    </row>
    <row r="367" spans="1:7" x14ac:dyDescent="0.25">
      <c r="A367" s="1">
        <v>8</v>
      </c>
      <c r="B367" s="1" t="s">
        <v>13</v>
      </c>
      <c r="C367" s="1" t="s">
        <v>51</v>
      </c>
      <c r="D367" s="1">
        <v>1997</v>
      </c>
      <c r="E367" s="1" t="s">
        <v>17</v>
      </c>
      <c r="F367" s="1">
        <v>65</v>
      </c>
      <c r="G367" s="3">
        <v>1326.224999</v>
      </c>
    </row>
    <row r="368" spans="1:7" x14ac:dyDescent="0.25">
      <c r="A368" s="1">
        <v>8</v>
      </c>
      <c r="B368" s="1" t="s">
        <v>13</v>
      </c>
      <c r="C368" s="1" t="s">
        <v>51</v>
      </c>
      <c r="D368" s="1">
        <v>1997</v>
      </c>
      <c r="E368" s="1" t="s">
        <v>89</v>
      </c>
      <c r="F368" s="1">
        <v>40</v>
      </c>
      <c r="G368" s="3">
        <v>235.2</v>
      </c>
    </row>
    <row r="369" spans="1:7" x14ac:dyDescent="0.25">
      <c r="A369" s="1">
        <v>4</v>
      </c>
      <c r="B369" s="1" t="s">
        <v>19</v>
      </c>
      <c r="C369" s="1" t="s">
        <v>51</v>
      </c>
      <c r="D369" s="1">
        <v>1997</v>
      </c>
      <c r="E369" s="1" t="s">
        <v>15</v>
      </c>
      <c r="F369" s="1">
        <v>62</v>
      </c>
      <c r="G369" s="3">
        <v>1487.999994</v>
      </c>
    </row>
    <row r="370" spans="1:7" x14ac:dyDescent="0.25">
      <c r="A370" s="1">
        <v>5</v>
      </c>
      <c r="B370" s="1" t="s">
        <v>19</v>
      </c>
      <c r="C370" s="1" t="s">
        <v>103</v>
      </c>
      <c r="D370" s="1">
        <v>1997</v>
      </c>
      <c r="E370" s="1" t="s">
        <v>87</v>
      </c>
      <c r="F370" s="1">
        <v>44</v>
      </c>
      <c r="G370" s="3">
        <v>946</v>
      </c>
    </row>
    <row r="371" spans="1:7" x14ac:dyDescent="0.25">
      <c r="A371" s="1">
        <v>4</v>
      </c>
      <c r="B371" s="1" t="s">
        <v>19</v>
      </c>
      <c r="C371" s="1" t="s">
        <v>103</v>
      </c>
      <c r="D371" s="1">
        <v>1997</v>
      </c>
      <c r="E371" s="1" t="s">
        <v>15</v>
      </c>
      <c r="F371" s="1">
        <v>82</v>
      </c>
      <c r="G371" s="3">
        <v>2917</v>
      </c>
    </row>
    <row r="372" spans="1:7" x14ac:dyDescent="0.25">
      <c r="A372" s="1">
        <v>5</v>
      </c>
      <c r="B372" s="1" t="s">
        <v>19</v>
      </c>
      <c r="C372" s="1" t="s">
        <v>103</v>
      </c>
      <c r="D372" s="1">
        <v>1997</v>
      </c>
      <c r="E372" s="1" t="s">
        <v>17</v>
      </c>
      <c r="F372" s="1">
        <v>35</v>
      </c>
      <c r="G372" s="3">
        <v>1434</v>
      </c>
    </row>
    <row r="373" spans="1:7" x14ac:dyDescent="0.25">
      <c r="A373" s="1">
        <v>3</v>
      </c>
      <c r="B373" s="1" t="s">
        <v>10</v>
      </c>
      <c r="C373" s="1" t="s">
        <v>52</v>
      </c>
      <c r="D373" s="1">
        <v>1997</v>
      </c>
      <c r="E373" s="1" t="s">
        <v>15</v>
      </c>
      <c r="F373" s="1">
        <v>40</v>
      </c>
      <c r="G373" s="3">
        <v>1335</v>
      </c>
    </row>
    <row r="374" spans="1:7" x14ac:dyDescent="0.25">
      <c r="A374" s="1">
        <v>3</v>
      </c>
      <c r="B374" s="1" t="s">
        <v>10</v>
      </c>
      <c r="C374" s="1" t="s">
        <v>52</v>
      </c>
      <c r="D374" s="1">
        <v>1997</v>
      </c>
      <c r="E374" s="1" t="s">
        <v>23</v>
      </c>
      <c r="F374" s="1">
        <v>12</v>
      </c>
      <c r="G374" s="3">
        <v>114</v>
      </c>
    </row>
    <row r="375" spans="1:7" x14ac:dyDescent="0.25">
      <c r="A375" s="1">
        <v>5</v>
      </c>
      <c r="B375" s="1" t="s">
        <v>19</v>
      </c>
      <c r="C375" s="1" t="s">
        <v>52</v>
      </c>
      <c r="D375" s="1">
        <v>1997</v>
      </c>
      <c r="E375" s="1" t="s">
        <v>86</v>
      </c>
      <c r="F375" s="1">
        <v>58</v>
      </c>
      <c r="G375" s="3">
        <v>2147.4</v>
      </c>
    </row>
    <row r="376" spans="1:7" x14ac:dyDescent="0.25">
      <c r="A376" s="1">
        <v>7</v>
      </c>
      <c r="B376" s="1" t="s">
        <v>7</v>
      </c>
      <c r="C376" s="1" t="s">
        <v>53</v>
      </c>
      <c r="D376" s="1">
        <v>1997</v>
      </c>
      <c r="E376" s="1" t="s">
        <v>91</v>
      </c>
      <c r="F376" s="1">
        <v>139</v>
      </c>
      <c r="G376" s="3">
        <v>9194.5599660000007</v>
      </c>
    </row>
    <row r="377" spans="1:7" x14ac:dyDescent="0.25">
      <c r="A377" s="1">
        <v>3</v>
      </c>
      <c r="B377" s="1" t="s">
        <v>10</v>
      </c>
      <c r="C377" s="1" t="s">
        <v>53</v>
      </c>
      <c r="D377" s="1">
        <v>1997</v>
      </c>
      <c r="E377" s="1" t="s">
        <v>85</v>
      </c>
      <c r="F377" s="1">
        <v>3</v>
      </c>
      <c r="G377" s="3">
        <v>147.9</v>
      </c>
    </row>
    <row r="378" spans="1:7" x14ac:dyDescent="0.25">
      <c r="A378" s="1">
        <v>3</v>
      </c>
      <c r="B378" s="1" t="s">
        <v>10</v>
      </c>
      <c r="C378" s="1" t="s">
        <v>53</v>
      </c>
      <c r="D378" s="1">
        <v>1997</v>
      </c>
      <c r="E378" s="1" t="s">
        <v>17</v>
      </c>
      <c r="F378" s="1">
        <v>82</v>
      </c>
      <c r="G378" s="3">
        <v>1260</v>
      </c>
    </row>
    <row r="379" spans="1:7" x14ac:dyDescent="0.25">
      <c r="A379" s="1">
        <v>1</v>
      </c>
      <c r="B379" s="1" t="s">
        <v>19</v>
      </c>
      <c r="C379" s="1" t="s">
        <v>53</v>
      </c>
      <c r="D379" s="1">
        <v>1997</v>
      </c>
      <c r="E379" s="1" t="s">
        <v>17</v>
      </c>
      <c r="F379" s="1">
        <v>105</v>
      </c>
      <c r="G379" s="3">
        <v>2697.5</v>
      </c>
    </row>
    <row r="380" spans="1:7" x14ac:dyDescent="0.25">
      <c r="A380" s="1">
        <v>1</v>
      </c>
      <c r="B380" s="1" t="s">
        <v>19</v>
      </c>
      <c r="C380" s="1" t="s">
        <v>53</v>
      </c>
      <c r="D380" s="1">
        <v>1997</v>
      </c>
      <c r="E380" s="1" t="s">
        <v>21</v>
      </c>
      <c r="F380" s="1">
        <v>135</v>
      </c>
      <c r="G380" s="3">
        <v>4109.6999969999997</v>
      </c>
    </row>
    <row r="381" spans="1:7" x14ac:dyDescent="0.25">
      <c r="A381" s="1">
        <v>4</v>
      </c>
      <c r="B381" s="1" t="s">
        <v>19</v>
      </c>
      <c r="C381" s="1" t="s">
        <v>53</v>
      </c>
      <c r="D381" s="1">
        <v>1997</v>
      </c>
      <c r="E381" s="1" t="s">
        <v>21</v>
      </c>
      <c r="F381" s="1">
        <v>80</v>
      </c>
      <c r="G381" s="3">
        <v>1100.9999989999999</v>
      </c>
    </row>
    <row r="382" spans="1:7" x14ac:dyDescent="0.25">
      <c r="A382" s="1">
        <v>6</v>
      </c>
      <c r="B382" s="1" t="s">
        <v>7</v>
      </c>
      <c r="C382" s="1" t="s">
        <v>53</v>
      </c>
      <c r="D382" s="1">
        <v>1997</v>
      </c>
      <c r="E382" s="1" t="s">
        <v>88</v>
      </c>
      <c r="F382" s="1">
        <v>67</v>
      </c>
      <c r="G382" s="3">
        <v>1078</v>
      </c>
    </row>
    <row r="383" spans="1:7" x14ac:dyDescent="0.25">
      <c r="A383" s="1">
        <v>8</v>
      </c>
      <c r="B383" s="1" t="s">
        <v>13</v>
      </c>
      <c r="C383" s="1" t="s">
        <v>53</v>
      </c>
      <c r="D383" s="1">
        <v>1997</v>
      </c>
      <c r="E383" s="1" t="s">
        <v>23</v>
      </c>
      <c r="F383" s="1">
        <v>21</v>
      </c>
      <c r="G383" s="3">
        <v>638.5</v>
      </c>
    </row>
    <row r="384" spans="1:7" x14ac:dyDescent="0.25">
      <c r="A384" s="1">
        <v>3</v>
      </c>
      <c r="B384" s="1" t="s">
        <v>10</v>
      </c>
      <c r="C384" s="1" t="s">
        <v>53</v>
      </c>
      <c r="D384" s="1">
        <v>1997</v>
      </c>
      <c r="E384" s="1" t="s">
        <v>86</v>
      </c>
      <c r="F384" s="1">
        <v>75</v>
      </c>
      <c r="G384" s="3">
        <v>2465.2499979999998</v>
      </c>
    </row>
    <row r="385" spans="1:7" x14ac:dyDescent="0.25">
      <c r="A385" s="1">
        <v>8</v>
      </c>
      <c r="B385" s="1" t="s">
        <v>13</v>
      </c>
      <c r="C385" s="1" t="s">
        <v>53</v>
      </c>
      <c r="D385" s="1">
        <v>1997</v>
      </c>
      <c r="E385" s="1" t="s">
        <v>86</v>
      </c>
      <c r="F385" s="1">
        <v>43</v>
      </c>
      <c r="G385" s="3">
        <v>639.89999890000001</v>
      </c>
    </row>
    <row r="386" spans="1:7" x14ac:dyDescent="0.25">
      <c r="A386" s="1">
        <v>2</v>
      </c>
      <c r="B386" s="1" t="s">
        <v>19</v>
      </c>
      <c r="C386" s="1" t="s">
        <v>104</v>
      </c>
      <c r="D386" s="1">
        <v>1997</v>
      </c>
      <c r="E386" s="1" t="s">
        <v>12</v>
      </c>
      <c r="F386" s="1">
        <v>11</v>
      </c>
      <c r="G386" s="3">
        <v>252</v>
      </c>
    </row>
    <row r="387" spans="1:7" x14ac:dyDescent="0.25">
      <c r="A387" s="1">
        <v>3</v>
      </c>
      <c r="B387" s="1" t="s">
        <v>10</v>
      </c>
      <c r="C387" s="1" t="s">
        <v>104</v>
      </c>
      <c r="D387" s="1">
        <v>1997</v>
      </c>
      <c r="E387" s="1" t="s">
        <v>85</v>
      </c>
      <c r="F387" s="1">
        <v>16</v>
      </c>
      <c r="G387" s="3">
        <v>352</v>
      </c>
    </row>
    <row r="388" spans="1:7" x14ac:dyDescent="0.25">
      <c r="A388" s="1">
        <v>7</v>
      </c>
      <c r="B388" s="1" t="s">
        <v>7</v>
      </c>
      <c r="C388" s="1" t="s">
        <v>105</v>
      </c>
      <c r="D388" s="1">
        <v>1997</v>
      </c>
      <c r="E388" s="1" t="s">
        <v>87</v>
      </c>
      <c r="F388" s="1">
        <v>2</v>
      </c>
      <c r="G388" s="3">
        <v>110</v>
      </c>
    </row>
    <row r="389" spans="1:7" x14ac:dyDescent="0.25">
      <c r="A389" s="1">
        <v>3</v>
      </c>
      <c r="B389" s="1" t="s">
        <v>10</v>
      </c>
      <c r="C389" s="1" t="s">
        <v>105</v>
      </c>
      <c r="D389" s="1">
        <v>1997</v>
      </c>
      <c r="E389" s="1" t="s">
        <v>91</v>
      </c>
      <c r="F389" s="1">
        <v>24</v>
      </c>
      <c r="G389" s="3">
        <v>319.2</v>
      </c>
    </row>
    <row r="390" spans="1:7" x14ac:dyDescent="0.25">
      <c r="A390" s="1">
        <v>8</v>
      </c>
      <c r="B390" s="1" t="s">
        <v>13</v>
      </c>
      <c r="C390" s="1" t="s">
        <v>54</v>
      </c>
      <c r="D390" s="1">
        <v>1997</v>
      </c>
      <c r="E390" s="1" t="s">
        <v>23</v>
      </c>
      <c r="F390" s="1">
        <v>52</v>
      </c>
      <c r="G390" s="3">
        <v>1893</v>
      </c>
    </row>
    <row r="391" spans="1:7" x14ac:dyDescent="0.25">
      <c r="A391" s="1">
        <v>1</v>
      </c>
      <c r="B391" s="1" t="s">
        <v>19</v>
      </c>
      <c r="C391" s="1" t="s">
        <v>54</v>
      </c>
      <c r="D391" s="1">
        <v>1997</v>
      </c>
      <c r="E391" s="1" t="s">
        <v>9</v>
      </c>
      <c r="F391" s="1">
        <v>110</v>
      </c>
      <c r="G391" s="3">
        <v>1261.875</v>
      </c>
    </row>
    <row r="392" spans="1:7" x14ac:dyDescent="0.25">
      <c r="A392" s="1">
        <v>3</v>
      </c>
      <c r="B392" s="1" t="s">
        <v>10</v>
      </c>
      <c r="C392" s="1" t="s">
        <v>54</v>
      </c>
      <c r="D392" s="1">
        <v>1997</v>
      </c>
      <c r="E392" s="1" t="s">
        <v>21</v>
      </c>
      <c r="F392" s="1">
        <v>54</v>
      </c>
      <c r="G392" s="3">
        <v>565.5</v>
      </c>
    </row>
    <row r="393" spans="1:7" x14ac:dyDescent="0.25">
      <c r="A393" s="1">
        <v>3</v>
      </c>
      <c r="B393" s="1" t="s">
        <v>10</v>
      </c>
      <c r="C393" s="1" t="s">
        <v>54</v>
      </c>
      <c r="D393" s="1">
        <v>1997</v>
      </c>
      <c r="E393" s="1" t="s">
        <v>88</v>
      </c>
      <c r="F393" s="1">
        <v>50</v>
      </c>
      <c r="G393" s="3">
        <v>1755</v>
      </c>
    </row>
    <row r="394" spans="1:7" x14ac:dyDescent="0.25">
      <c r="A394" s="1">
        <v>4</v>
      </c>
      <c r="B394" s="1" t="s">
        <v>19</v>
      </c>
      <c r="C394" s="1" t="s">
        <v>55</v>
      </c>
      <c r="D394" s="1">
        <v>1997</v>
      </c>
      <c r="E394" s="1" t="s">
        <v>87</v>
      </c>
      <c r="F394" s="1">
        <v>80</v>
      </c>
      <c r="G394" s="3">
        <v>1728.524999</v>
      </c>
    </row>
    <row r="395" spans="1:7" x14ac:dyDescent="0.25">
      <c r="A395" s="1">
        <v>1</v>
      </c>
      <c r="B395" s="1" t="s">
        <v>19</v>
      </c>
      <c r="C395" s="1" t="s">
        <v>55</v>
      </c>
      <c r="D395" s="1">
        <v>1997</v>
      </c>
      <c r="E395" s="1" t="s">
        <v>85</v>
      </c>
      <c r="F395" s="1">
        <v>20</v>
      </c>
      <c r="G395" s="3">
        <v>240</v>
      </c>
    </row>
    <row r="396" spans="1:7" x14ac:dyDescent="0.25">
      <c r="A396" s="1">
        <v>4</v>
      </c>
      <c r="B396" s="1" t="s">
        <v>19</v>
      </c>
      <c r="C396" s="1" t="s">
        <v>55</v>
      </c>
      <c r="D396" s="1">
        <v>1997</v>
      </c>
      <c r="E396" s="1" t="s">
        <v>15</v>
      </c>
      <c r="F396" s="1">
        <v>115</v>
      </c>
      <c r="G396" s="3">
        <v>2310</v>
      </c>
    </row>
    <row r="397" spans="1:7" x14ac:dyDescent="0.25">
      <c r="A397" s="1">
        <v>3</v>
      </c>
      <c r="B397" s="1" t="s">
        <v>10</v>
      </c>
      <c r="C397" s="1" t="s">
        <v>55</v>
      </c>
      <c r="D397" s="1">
        <v>1997</v>
      </c>
      <c r="E397" s="1" t="s">
        <v>9</v>
      </c>
      <c r="F397" s="1">
        <v>90</v>
      </c>
      <c r="G397" s="3">
        <v>1768</v>
      </c>
    </row>
    <row r="398" spans="1:7" x14ac:dyDescent="0.25">
      <c r="A398" s="1">
        <v>2</v>
      </c>
      <c r="B398" s="1" t="s">
        <v>19</v>
      </c>
      <c r="C398" s="1" t="s">
        <v>55</v>
      </c>
      <c r="D398" s="1">
        <v>1997</v>
      </c>
      <c r="E398" s="1" t="s">
        <v>91</v>
      </c>
      <c r="F398" s="1">
        <v>60</v>
      </c>
      <c r="G398" s="3">
        <v>1194</v>
      </c>
    </row>
    <row r="399" spans="1:7" x14ac:dyDescent="0.25">
      <c r="A399" s="1">
        <v>4</v>
      </c>
      <c r="B399" s="1" t="s">
        <v>19</v>
      </c>
      <c r="C399" s="1" t="s">
        <v>55</v>
      </c>
      <c r="D399" s="1">
        <v>1997</v>
      </c>
      <c r="E399" s="1" t="s">
        <v>86</v>
      </c>
      <c r="F399" s="1">
        <v>54</v>
      </c>
      <c r="G399" s="3">
        <v>1013.744999</v>
      </c>
    </row>
    <row r="400" spans="1:7" x14ac:dyDescent="0.25">
      <c r="A400" s="1">
        <v>2</v>
      </c>
      <c r="B400" s="1" t="s">
        <v>19</v>
      </c>
      <c r="C400" s="1" t="s">
        <v>56</v>
      </c>
      <c r="D400" s="1">
        <v>1997</v>
      </c>
      <c r="E400" s="1" t="s">
        <v>85</v>
      </c>
      <c r="F400" s="1">
        <v>57</v>
      </c>
      <c r="G400" s="3">
        <v>816.3</v>
      </c>
    </row>
    <row r="401" spans="1:7" x14ac:dyDescent="0.25">
      <c r="A401" s="1">
        <v>5</v>
      </c>
      <c r="B401" s="1" t="s">
        <v>19</v>
      </c>
      <c r="C401" s="1" t="s">
        <v>56</v>
      </c>
      <c r="D401" s="1">
        <v>1997</v>
      </c>
      <c r="E401" s="1" t="s">
        <v>89</v>
      </c>
      <c r="F401" s="1">
        <v>61</v>
      </c>
      <c r="G401" s="3">
        <v>1249.0999999999999</v>
      </c>
    </row>
    <row r="402" spans="1:7" x14ac:dyDescent="0.25">
      <c r="A402" s="1">
        <v>4</v>
      </c>
      <c r="B402" s="1" t="s">
        <v>19</v>
      </c>
      <c r="C402" s="1" t="s">
        <v>57</v>
      </c>
      <c r="D402" s="1">
        <v>1997</v>
      </c>
      <c r="E402" s="1" t="s">
        <v>91</v>
      </c>
      <c r="F402" s="1">
        <v>35</v>
      </c>
      <c r="G402" s="3">
        <v>651</v>
      </c>
    </row>
    <row r="403" spans="1:7" x14ac:dyDescent="0.25">
      <c r="A403" s="1">
        <v>3</v>
      </c>
      <c r="B403" s="1" t="s">
        <v>10</v>
      </c>
      <c r="C403" s="1" t="s">
        <v>57</v>
      </c>
      <c r="D403" s="1">
        <v>1997</v>
      </c>
      <c r="E403" s="1" t="s">
        <v>87</v>
      </c>
      <c r="F403" s="1">
        <v>135</v>
      </c>
      <c r="G403" s="3">
        <v>4180</v>
      </c>
    </row>
    <row r="404" spans="1:7" x14ac:dyDescent="0.25">
      <c r="A404" s="1">
        <v>6</v>
      </c>
      <c r="B404" s="1" t="s">
        <v>7</v>
      </c>
      <c r="C404" s="1" t="s">
        <v>57</v>
      </c>
      <c r="D404" s="1">
        <v>1997</v>
      </c>
      <c r="E404" s="1" t="s">
        <v>89</v>
      </c>
      <c r="F404" s="1">
        <v>33</v>
      </c>
      <c r="G404" s="3">
        <v>439.2</v>
      </c>
    </row>
    <row r="405" spans="1:7" x14ac:dyDescent="0.25">
      <c r="A405" s="1">
        <v>6</v>
      </c>
      <c r="B405" s="1" t="s">
        <v>7</v>
      </c>
      <c r="C405" s="1" t="s">
        <v>57</v>
      </c>
      <c r="D405" s="1">
        <v>1997</v>
      </c>
      <c r="E405" s="1" t="s">
        <v>12</v>
      </c>
      <c r="F405" s="1">
        <v>82</v>
      </c>
      <c r="G405" s="3">
        <v>1912.85</v>
      </c>
    </row>
    <row r="406" spans="1:7" x14ac:dyDescent="0.25">
      <c r="A406" s="1">
        <v>2</v>
      </c>
      <c r="B406" s="1" t="s">
        <v>19</v>
      </c>
      <c r="C406" s="1" t="s">
        <v>57</v>
      </c>
      <c r="D406" s="1">
        <v>1997</v>
      </c>
      <c r="E406" s="1" t="s">
        <v>9</v>
      </c>
      <c r="F406" s="1">
        <v>45</v>
      </c>
      <c r="G406" s="3">
        <v>1404.4499969999999</v>
      </c>
    </row>
    <row r="407" spans="1:7" x14ac:dyDescent="0.25">
      <c r="A407" s="1">
        <v>7</v>
      </c>
      <c r="B407" s="1" t="s">
        <v>7</v>
      </c>
      <c r="C407" s="1" t="s">
        <v>57</v>
      </c>
      <c r="D407" s="1">
        <v>1997</v>
      </c>
      <c r="E407" s="1" t="s">
        <v>21</v>
      </c>
      <c r="F407" s="1">
        <v>67</v>
      </c>
      <c r="G407" s="3">
        <v>718.0799988</v>
      </c>
    </row>
    <row r="408" spans="1:7" x14ac:dyDescent="0.25">
      <c r="A408" s="1">
        <v>3</v>
      </c>
      <c r="B408" s="1" t="s">
        <v>10</v>
      </c>
      <c r="C408" s="1" t="s">
        <v>58</v>
      </c>
      <c r="D408" s="1">
        <v>1997</v>
      </c>
      <c r="E408" s="1" t="s">
        <v>88</v>
      </c>
      <c r="F408" s="1">
        <v>28</v>
      </c>
      <c r="G408" s="3">
        <v>851.2</v>
      </c>
    </row>
    <row r="409" spans="1:7" x14ac:dyDescent="0.25">
      <c r="A409" s="1">
        <v>5</v>
      </c>
      <c r="B409" s="1" t="s">
        <v>19</v>
      </c>
      <c r="C409" s="1" t="s">
        <v>58</v>
      </c>
      <c r="D409" s="1">
        <v>1997</v>
      </c>
      <c r="E409" s="1" t="s">
        <v>89</v>
      </c>
      <c r="F409" s="1">
        <v>56</v>
      </c>
      <c r="G409" s="3">
        <v>558</v>
      </c>
    </row>
    <row r="410" spans="1:7" x14ac:dyDescent="0.25">
      <c r="A410" s="1">
        <v>5</v>
      </c>
      <c r="B410" s="1" t="s">
        <v>19</v>
      </c>
      <c r="C410" s="1" t="s">
        <v>59</v>
      </c>
      <c r="D410" s="1">
        <v>1997</v>
      </c>
      <c r="E410" s="1" t="s">
        <v>87</v>
      </c>
      <c r="F410" s="1">
        <v>203</v>
      </c>
      <c r="G410" s="3">
        <v>3554.2749749999998</v>
      </c>
    </row>
    <row r="411" spans="1:7" x14ac:dyDescent="0.25">
      <c r="A411" s="1">
        <v>3</v>
      </c>
      <c r="B411" s="1" t="s">
        <v>10</v>
      </c>
      <c r="C411" s="1" t="s">
        <v>59</v>
      </c>
      <c r="D411" s="1">
        <v>1997</v>
      </c>
      <c r="E411" s="1" t="s">
        <v>87</v>
      </c>
      <c r="F411" s="1">
        <v>165</v>
      </c>
      <c r="G411" s="3">
        <v>10191.700000000001</v>
      </c>
    </row>
    <row r="412" spans="1:7" x14ac:dyDescent="0.25">
      <c r="A412" s="1">
        <v>7</v>
      </c>
      <c r="B412" s="1" t="s">
        <v>7</v>
      </c>
      <c r="C412" s="1" t="s">
        <v>59</v>
      </c>
      <c r="D412" s="1">
        <v>1997</v>
      </c>
      <c r="E412" s="1" t="s">
        <v>87</v>
      </c>
      <c r="F412" s="1">
        <v>80</v>
      </c>
      <c r="G412" s="3">
        <v>1502.999998</v>
      </c>
    </row>
    <row r="413" spans="1:7" x14ac:dyDescent="0.25">
      <c r="A413" s="1">
        <v>4</v>
      </c>
      <c r="B413" s="1" t="s">
        <v>19</v>
      </c>
      <c r="C413" s="1" t="s">
        <v>59</v>
      </c>
      <c r="D413" s="1">
        <v>1997</v>
      </c>
      <c r="E413" s="1" t="s">
        <v>91</v>
      </c>
      <c r="F413" s="1">
        <v>146</v>
      </c>
      <c r="G413" s="3">
        <v>1814.8</v>
      </c>
    </row>
    <row r="414" spans="1:7" x14ac:dyDescent="0.25">
      <c r="A414" s="1">
        <v>2</v>
      </c>
      <c r="B414" s="1" t="s">
        <v>19</v>
      </c>
      <c r="C414" s="1" t="s">
        <v>59</v>
      </c>
      <c r="D414" s="1">
        <v>1997</v>
      </c>
      <c r="E414" s="1" t="s">
        <v>85</v>
      </c>
      <c r="F414" s="1">
        <v>286</v>
      </c>
      <c r="G414" s="3">
        <v>9921.2999729999992</v>
      </c>
    </row>
    <row r="415" spans="1:7" x14ac:dyDescent="0.25">
      <c r="A415" s="1">
        <v>1</v>
      </c>
      <c r="B415" s="1" t="s">
        <v>19</v>
      </c>
      <c r="C415" s="1" t="s">
        <v>59</v>
      </c>
      <c r="D415" s="1">
        <v>1997</v>
      </c>
      <c r="E415" s="1" t="s">
        <v>15</v>
      </c>
      <c r="F415" s="1">
        <v>90</v>
      </c>
      <c r="G415" s="3">
        <v>731.49999939999998</v>
      </c>
    </row>
    <row r="416" spans="1:7" x14ac:dyDescent="0.25">
      <c r="A416" s="1">
        <v>3</v>
      </c>
      <c r="B416" s="1" t="s">
        <v>10</v>
      </c>
      <c r="C416" s="1" t="s">
        <v>59</v>
      </c>
      <c r="D416" s="1">
        <v>1997</v>
      </c>
      <c r="E416" s="1" t="s">
        <v>15</v>
      </c>
      <c r="F416" s="1">
        <v>80</v>
      </c>
      <c r="G416" s="3">
        <v>1515.599997</v>
      </c>
    </row>
    <row r="417" spans="1:7" x14ac:dyDescent="0.25">
      <c r="A417" s="1">
        <v>9</v>
      </c>
      <c r="B417" s="1" t="s">
        <v>13</v>
      </c>
      <c r="C417" s="1" t="s">
        <v>59</v>
      </c>
      <c r="D417" s="1">
        <v>1997</v>
      </c>
      <c r="E417" s="1" t="s">
        <v>12</v>
      </c>
      <c r="F417" s="1">
        <v>92</v>
      </c>
      <c r="G417" s="3">
        <v>4529.8</v>
      </c>
    </row>
    <row r="418" spans="1:7" x14ac:dyDescent="0.25">
      <c r="A418" s="1">
        <v>5</v>
      </c>
      <c r="B418" s="1" t="s">
        <v>19</v>
      </c>
      <c r="C418" s="1" t="s">
        <v>59</v>
      </c>
      <c r="D418" s="1">
        <v>1997</v>
      </c>
      <c r="E418" s="1" t="s">
        <v>23</v>
      </c>
      <c r="F418" s="1">
        <v>50</v>
      </c>
      <c r="G418" s="3">
        <v>923.87499930000001</v>
      </c>
    </row>
    <row r="419" spans="1:7" x14ac:dyDescent="0.25">
      <c r="A419" s="1">
        <v>8</v>
      </c>
      <c r="B419" s="1" t="s">
        <v>13</v>
      </c>
      <c r="C419" s="1" t="s">
        <v>59</v>
      </c>
      <c r="D419" s="1">
        <v>1997</v>
      </c>
      <c r="E419" s="1" t="s">
        <v>23</v>
      </c>
      <c r="F419" s="1">
        <v>165</v>
      </c>
      <c r="G419" s="3">
        <v>4825</v>
      </c>
    </row>
    <row r="420" spans="1:7" x14ac:dyDescent="0.25">
      <c r="A420" s="1">
        <v>2</v>
      </c>
      <c r="B420" s="1" t="s">
        <v>19</v>
      </c>
      <c r="C420" s="1" t="s">
        <v>59</v>
      </c>
      <c r="D420" s="1">
        <v>1997</v>
      </c>
      <c r="E420" s="1" t="s">
        <v>23</v>
      </c>
      <c r="F420" s="1">
        <v>182</v>
      </c>
      <c r="G420" s="3">
        <v>10164.799999999999</v>
      </c>
    </row>
    <row r="421" spans="1:7" x14ac:dyDescent="0.25">
      <c r="A421" s="1">
        <v>4</v>
      </c>
      <c r="B421" s="1" t="s">
        <v>19</v>
      </c>
      <c r="C421" s="1" t="s">
        <v>59</v>
      </c>
      <c r="D421" s="1">
        <v>1997</v>
      </c>
      <c r="E421" s="1" t="s">
        <v>9</v>
      </c>
      <c r="F421" s="1">
        <v>255</v>
      </c>
      <c r="G421" s="3">
        <v>4464.5999970000003</v>
      </c>
    </row>
    <row r="422" spans="1:7" x14ac:dyDescent="0.25">
      <c r="A422" s="1">
        <v>4</v>
      </c>
      <c r="B422" s="1" t="s">
        <v>19</v>
      </c>
      <c r="C422" s="1" t="s">
        <v>59</v>
      </c>
      <c r="D422" s="1">
        <v>1997</v>
      </c>
      <c r="E422" s="1" t="s">
        <v>88</v>
      </c>
      <c r="F422" s="1">
        <v>238</v>
      </c>
      <c r="G422" s="3">
        <v>3849.6599940000001</v>
      </c>
    </row>
    <row r="423" spans="1:7" x14ac:dyDescent="0.25">
      <c r="A423" s="1">
        <v>2</v>
      </c>
      <c r="B423" s="1" t="s">
        <v>19</v>
      </c>
      <c r="C423" s="1" t="s">
        <v>59</v>
      </c>
      <c r="D423" s="1">
        <v>1997</v>
      </c>
      <c r="E423" s="1" t="s">
        <v>21</v>
      </c>
      <c r="F423" s="1">
        <v>140</v>
      </c>
      <c r="G423" s="3">
        <v>3119.999988</v>
      </c>
    </row>
    <row r="424" spans="1:7" x14ac:dyDescent="0.25">
      <c r="A424" s="1">
        <v>8</v>
      </c>
      <c r="B424" s="1" t="s">
        <v>13</v>
      </c>
      <c r="C424" s="1" t="s">
        <v>60</v>
      </c>
      <c r="D424" s="1">
        <v>1997</v>
      </c>
      <c r="E424" s="1" t="s">
        <v>91</v>
      </c>
      <c r="F424" s="1">
        <v>59</v>
      </c>
      <c r="G424" s="3">
        <v>1194.2699970000001</v>
      </c>
    </row>
    <row r="425" spans="1:7" x14ac:dyDescent="0.25">
      <c r="A425" s="1">
        <v>6</v>
      </c>
      <c r="B425" s="1" t="s">
        <v>7</v>
      </c>
      <c r="C425" s="1" t="s">
        <v>60</v>
      </c>
      <c r="D425" s="1">
        <v>1997</v>
      </c>
      <c r="E425" s="1" t="s">
        <v>15</v>
      </c>
      <c r="F425" s="1">
        <v>21</v>
      </c>
      <c r="G425" s="3">
        <v>314.75999880000001</v>
      </c>
    </row>
    <row r="426" spans="1:7" x14ac:dyDescent="0.25">
      <c r="A426" s="1">
        <v>8</v>
      </c>
      <c r="B426" s="1" t="s">
        <v>13</v>
      </c>
      <c r="C426" s="1" t="s">
        <v>60</v>
      </c>
      <c r="D426" s="1">
        <v>1997</v>
      </c>
      <c r="E426" s="1" t="s">
        <v>23</v>
      </c>
      <c r="F426" s="1">
        <v>29</v>
      </c>
      <c r="G426" s="3">
        <v>550</v>
      </c>
    </row>
    <row r="427" spans="1:7" x14ac:dyDescent="0.25">
      <c r="A427" s="1">
        <v>4</v>
      </c>
      <c r="B427" s="1" t="s">
        <v>19</v>
      </c>
      <c r="C427" s="1" t="s">
        <v>60</v>
      </c>
      <c r="D427" s="1">
        <v>1997</v>
      </c>
      <c r="E427" s="1" t="s">
        <v>17</v>
      </c>
      <c r="F427" s="1">
        <v>50</v>
      </c>
      <c r="G427" s="3">
        <v>636</v>
      </c>
    </row>
    <row r="428" spans="1:7" x14ac:dyDescent="0.25">
      <c r="A428" s="1">
        <v>1</v>
      </c>
      <c r="B428" s="1" t="s">
        <v>19</v>
      </c>
      <c r="C428" s="1" t="s">
        <v>60</v>
      </c>
      <c r="D428" s="1">
        <v>1997</v>
      </c>
      <c r="E428" s="1" t="s">
        <v>21</v>
      </c>
      <c r="F428" s="1">
        <v>46</v>
      </c>
      <c r="G428" s="3">
        <v>807.38</v>
      </c>
    </row>
    <row r="429" spans="1:7" x14ac:dyDescent="0.25">
      <c r="A429" s="1">
        <v>4</v>
      </c>
      <c r="B429" s="1" t="s">
        <v>19</v>
      </c>
      <c r="C429" s="1" t="s">
        <v>61</v>
      </c>
      <c r="D429" s="1">
        <v>1997</v>
      </c>
      <c r="E429" s="1" t="s">
        <v>12</v>
      </c>
      <c r="F429" s="1">
        <v>48</v>
      </c>
      <c r="G429" s="3">
        <v>1296.75</v>
      </c>
    </row>
    <row r="430" spans="1:7" x14ac:dyDescent="0.25">
      <c r="A430" s="1">
        <v>2</v>
      </c>
      <c r="B430" s="1" t="s">
        <v>19</v>
      </c>
      <c r="C430" s="1" t="s">
        <v>61</v>
      </c>
      <c r="D430" s="1">
        <v>1997</v>
      </c>
      <c r="E430" s="1" t="s">
        <v>89</v>
      </c>
      <c r="F430" s="1">
        <v>59</v>
      </c>
      <c r="G430" s="3">
        <v>889.7</v>
      </c>
    </row>
    <row r="431" spans="1:7" x14ac:dyDescent="0.25">
      <c r="A431" s="1">
        <v>6</v>
      </c>
      <c r="B431" s="1" t="s">
        <v>7</v>
      </c>
      <c r="C431" s="1" t="s">
        <v>61</v>
      </c>
      <c r="D431" s="1">
        <v>1997</v>
      </c>
      <c r="E431" s="1" t="s">
        <v>23</v>
      </c>
      <c r="F431" s="1">
        <v>65</v>
      </c>
      <c r="G431" s="3">
        <v>595.5</v>
      </c>
    </row>
    <row r="432" spans="1:7" x14ac:dyDescent="0.25">
      <c r="A432" s="1">
        <v>7</v>
      </c>
      <c r="B432" s="1" t="s">
        <v>7</v>
      </c>
      <c r="C432" s="1" t="s">
        <v>61</v>
      </c>
      <c r="D432" s="1">
        <v>1997</v>
      </c>
      <c r="E432" s="1" t="s">
        <v>9</v>
      </c>
      <c r="F432" s="1">
        <v>84</v>
      </c>
      <c r="G432" s="3">
        <v>1227.0199990000001</v>
      </c>
    </row>
    <row r="433" spans="1:7" x14ac:dyDescent="0.25">
      <c r="A433" s="1">
        <v>6</v>
      </c>
      <c r="B433" s="1" t="s">
        <v>7</v>
      </c>
      <c r="C433" s="1" t="s">
        <v>61</v>
      </c>
      <c r="D433" s="1">
        <v>1997</v>
      </c>
      <c r="E433" s="1" t="s">
        <v>17</v>
      </c>
      <c r="F433" s="1">
        <v>95</v>
      </c>
      <c r="G433" s="3">
        <v>2761.9374979999998</v>
      </c>
    </row>
    <row r="434" spans="1:7" x14ac:dyDescent="0.25">
      <c r="A434" s="1">
        <v>8</v>
      </c>
      <c r="B434" s="1" t="s">
        <v>13</v>
      </c>
      <c r="C434" s="1" t="s">
        <v>61</v>
      </c>
      <c r="D434" s="1">
        <v>1997</v>
      </c>
      <c r="E434" s="1" t="s">
        <v>15</v>
      </c>
      <c r="F434" s="1">
        <v>87</v>
      </c>
      <c r="G434" s="3">
        <v>1531.0799939999999</v>
      </c>
    </row>
    <row r="435" spans="1:7" x14ac:dyDescent="0.25">
      <c r="A435" s="1">
        <v>7</v>
      </c>
      <c r="B435" s="1" t="s">
        <v>7</v>
      </c>
      <c r="C435" s="1" t="s">
        <v>61</v>
      </c>
      <c r="D435" s="1">
        <v>1997</v>
      </c>
      <c r="E435" s="1" t="s">
        <v>91</v>
      </c>
      <c r="F435" s="1">
        <v>89</v>
      </c>
      <c r="G435" s="3">
        <v>1830.7799970000001</v>
      </c>
    </row>
    <row r="436" spans="1:7" x14ac:dyDescent="0.25">
      <c r="A436" s="1">
        <v>4</v>
      </c>
      <c r="B436" s="1" t="s">
        <v>19</v>
      </c>
      <c r="C436" s="1" t="s">
        <v>106</v>
      </c>
      <c r="D436" s="1">
        <v>1997</v>
      </c>
      <c r="E436" s="1" t="s">
        <v>23</v>
      </c>
      <c r="F436" s="1">
        <v>22</v>
      </c>
      <c r="G436" s="3">
        <v>706</v>
      </c>
    </row>
    <row r="437" spans="1:7" x14ac:dyDescent="0.25">
      <c r="A437" s="1">
        <v>4</v>
      </c>
      <c r="B437" s="1" t="s">
        <v>19</v>
      </c>
      <c r="C437" s="1" t="s">
        <v>106</v>
      </c>
      <c r="D437" s="1">
        <v>1997</v>
      </c>
      <c r="E437" s="1" t="s">
        <v>88</v>
      </c>
      <c r="F437" s="1">
        <v>26</v>
      </c>
      <c r="G437" s="3">
        <v>443.4</v>
      </c>
    </row>
    <row r="438" spans="1:7" x14ac:dyDescent="0.25">
      <c r="A438" s="1">
        <v>1</v>
      </c>
      <c r="B438" s="1" t="s">
        <v>19</v>
      </c>
      <c r="C438" s="1" t="s">
        <v>62</v>
      </c>
      <c r="D438" s="1">
        <v>1997</v>
      </c>
      <c r="E438" s="1" t="s">
        <v>91</v>
      </c>
      <c r="F438" s="1">
        <v>168</v>
      </c>
      <c r="G438" s="3">
        <v>3868.6</v>
      </c>
    </row>
    <row r="439" spans="1:7" x14ac:dyDescent="0.25">
      <c r="A439" s="1">
        <v>5</v>
      </c>
      <c r="B439" s="1" t="s">
        <v>19</v>
      </c>
      <c r="C439" s="1" t="s">
        <v>62</v>
      </c>
      <c r="D439" s="1">
        <v>1997</v>
      </c>
      <c r="E439" s="1" t="s">
        <v>15</v>
      </c>
      <c r="F439" s="1">
        <v>53</v>
      </c>
      <c r="G439" s="3">
        <v>507</v>
      </c>
    </row>
    <row r="440" spans="1:7" x14ac:dyDescent="0.25">
      <c r="A440" s="1">
        <v>3</v>
      </c>
      <c r="B440" s="1" t="s">
        <v>10</v>
      </c>
      <c r="C440" s="1" t="s">
        <v>62</v>
      </c>
      <c r="D440" s="1">
        <v>1997</v>
      </c>
      <c r="E440" s="1" t="s">
        <v>89</v>
      </c>
      <c r="F440" s="1">
        <v>148</v>
      </c>
      <c r="G440" s="3">
        <v>10495.6</v>
      </c>
    </row>
    <row r="441" spans="1:7" x14ac:dyDescent="0.25">
      <c r="A441" s="1">
        <v>1</v>
      </c>
      <c r="B441" s="1" t="s">
        <v>19</v>
      </c>
      <c r="C441" s="1" t="s">
        <v>62</v>
      </c>
      <c r="D441" s="1">
        <v>1997</v>
      </c>
      <c r="E441" s="1" t="s">
        <v>21</v>
      </c>
      <c r="F441" s="1">
        <v>59</v>
      </c>
      <c r="G441" s="3">
        <v>2388.5</v>
      </c>
    </row>
    <row r="442" spans="1:7" x14ac:dyDescent="0.25">
      <c r="A442" s="1">
        <v>5</v>
      </c>
      <c r="B442" s="1" t="s">
        <v>19</v>
      </c>
      <c r="C442" s="1" t="s">
        <v>62</v>
      </c>
      <c r="D442" s="1">
        <v>1997</v>
      </c>
      <c r="E442" s="1" t="s">
        <v>86</v>
      </c>
      <c r="F442" s="1">
        <v>65</v>
      </c>
      <c r="G442" s="3">
        <v>889.99999869999999</v>
      </c>
    </row>
    <row r="443" spans="1:7" x14ac:dyDescent="0.25">
      <c r="A443" s="1">
        <v>4</v>
      </c>
      <c r="B443" s="1" t="s">
        <v>19</v>
      </c>
      <c r="C443" s="1" t="s">
        <v>62</v>
      </c>
      <c r="D443" s="1">
        <v>1997</v>
      </c>
      <c r="E443" s="1" t="s">
        <v>86</v>
      </c>
      <c r="F443" s="1">
        <v>47</v>
      </c>
      <c r="G443" s="3">
        <v>1234.0499990000001</v>
      </c>
    </row>
    <row r="444" spans="1:7" x14ac:dyDescent="0.25">
      <c r="A444" s="1">
        <v>7</v>
      </c>
      <c r="B444" s="1" t="s">
        <v>7</v>
      </c>
      <c r="C444" s="1" t="s">
        <v>63</v>
      </c>
      <c r="D444" s="1">
        <v>1997</v>
      </c>
      <c r="E444" s="1" t="s">
        <v>91</v>
      </c>
      <c r="F444" s="1">
        <v>20</v>
      </c>
      <c r="G444" s="3">
        <v>192</v>
      </c>
    </row>
    <row r="445" spans="1:7" x14ac:dyDescent="0.25">
      <c r="A445" s="1">
        <v>1</v>
      </c>
      <c r="B445" s="1" t="s">
        <v>19</v>
      </c>
      <c r="C445" s="1" t="s">
        <v>63</v>
      </c>
      <c r="D445" s="1">
        <v>1997</v>
      </c>
      <c r="E445" s="1" t="s">
        <v>86</v>
      </c>
      <c r="F445" s="1">
        <v>30</v>
      </c>
      <c r="G445" s="3">
        <v>488.69999919999998</v>
      </c>
    </row>
    <row r="446" spans="1:7" x14ac:dyDescent="0.25">
      <c r="A446" s="1">
        <v>2</v>
      </c>
      <c r="B446" s="1" t="s">
        <v>19</v>
      </c>
      <c r="C446" s="1" t="s">
        <v>63</v>
      </c>
      <c r="D446" s="1">
        <v>1997</v>
      </c>
      <c r="E446" s="1" t="s">
        <v>12</v>
      </c>
      <c r="F446" s="1">
        <v>40</v>
      </c>
      <c r="G446" s="3">
        <v>1624.4999989999999</v>
      </c>
    </row>
    <row r="447" spans="1:7" x14ac:dyDescent="0.25">
      <c r="A447" s="1">
        <v>1</v>
      </c>
      <c r="B447" s="1" t="s">
        <v>19</v>
      </c>
      <c r="C447" s="1" t="s">
        <v>63</v>
      </c>
      <c r="D447" s="1">
        <v>1997</v>
      </c>
      <c r="E447" s="1" t="s">
        <v>9</v>
      </c>
      <c r="F447" s="1">
        <v>20</v>
      </c>
      <c r="G447" s="3">
        <v>154.39999940000001</v>
      </c>
    </row>
    <row r="448" spans="1:7" x14ac:dyDescent="0.25">
      <c r="A448" s="1">
        <v>9</v>
      </c>
      <c r="B448" s="1" t="s">
        <v>13</v>
      </c>
      <c r="C448" s="1" t="s">
        <v>63</v>
      </c>
      <c r="D448" s="1">
        <v>1997</v>
      </c>
      <c r="E448" s="1" t="s">
        <v>21</v>
      </c>
      <c r="F448" s="1">
        <v>4</v>
      </c>
      <c r="G448" s="3">
        <v>23.799999830000001</v>
      </c>
    </row>
    <row r="449" spans="1:7" x14ac:dyDescent="0.25">
      <c r="A449" s="1">
        <v>8</v>
      </c>
      <c r="B449" s="1" t="s">
        <v>13</v>
      </c>
      <c r="C449" s="1" t="s">
        <v>63</v>
      </c>
      <c r="D449" s="1">
        <v>1997</v>
      </c>
      <c r="E449" s="1" t="s">
        <v>88</v>
      </c>
      <c r="F449" s="1">
        <v>18</v>
      </c>
      <c r="G449" s="3">
        <v>517.43999970000004</v>
      </c>
    </row>
    <row r="450" spans="1:7" x14ac:dyDescent="0.25">
      <c r="A450" s="1">
        <v>2</v>
      </c>
      <c r="B450" s="1" t="s">
        <v>19</v>
      </c>
      <c r="C450" s="1" t="s">
        <v>64</v>
      </c>
      <c r="D450" s="1">
        <v>1997</v>
      </c>
      <c r="E450" s="1" t="s">
        <v>86</v>
      </c>
      <c r="F450" s="1">
        <v>95</v>
      </c>
      <c r="G450" s="3">
        <v>965</v>
      </c>
    </row>
    <row r="451" spans="1:7" x14ac:dyDescent="0.25">
      <c r="A451" s="1">
        <v>8</v>
      </c>
      <c r="B451" s="1" t="s">
        <v>13</v>
      </c>
      <c r="C451" s="1" t="s">
        <v>64</v>
      </c>
      <c r="D451" s="1">
        <v>1997</v>
      </c>
      <c r="E451" s="1" t="s">
        <v>89</v>
      </c>
      <c r="F451" s="1">
        <v>64</v>
      </c>
      <c r="G451" s="3">
        <v>1472</v>
      </c>
    </row>
    <row r="452" spans="1:7" x14ac:dyDescent="0.25">
      <c r="A452" s="1">
        <v>5</v>
      </c>
      <c r="B452" s="1" t="s">
        <v>19</v>
      </c>
      <c r="C452" s="1" t="s">
        <v>64</v>
      </c>
      <c r="D452" s="1">
        <v>1997</v>
      </c>
      <c r="E452" s="1" t="s">
        <v>17</v>
      </c>
      <c r="F452" s="1">
        <v>30</v>
      </c>
      <c r="G452" s="3">
        <v>372.37499960000002</v>
      </c>
    </row>
    <row r="453" spans="1:7" x14ac:dyDescent="0.25">
      <c r="A453" s="1">
        <v>4</v>
      </c>
      <c r="B453" s="1" t="s">
        <v>19</v>
      </c>
      <c r="C453" s="1" t="s">
        <v>64</v>
      </c>
      <c r="D453" s="1">
        <v>1997</v>
      </c>
      <c r="E453" s="1" t="s">
        <v>17</v>
      </c>
      <c r="F453" s="1">
        <v>38</v>
      </c>
      <c r="G453" s="3">
        <v>559.99999930000001</v>
      </c>
    </row>
    <row r="454" spans="1:7" x14ac:dyDescent="0.25">
      <c r="A454" s="1">
        <v>4</v>
      </c>
      <c r="B454" s="1" t="s">
        <v>19</v>
      </c>
      <c r="C454" s="1" t="s">
        <v>64</v>
      </c>
      <c r="D454" s="1">
        <v>1997</v>
      </c>
      <c r="E454" s="1" t="s">
        <v>88</v>
      </c>
      <c r="F454" s="1">
        <v>77</v>
      </c>
      <c r="G454" s="3">
        <v>914.4</v>
      </c>
    </row>
    <row r="455" spans="1:7" x14ac:dyDescent="0.25">
      <c r="A455" s="1">
        <v>1</v>
      </c>
      <c r="B455" s="1" t="s">
        <v>19</v>
      </c>
      <c r="C455" s="1" t="s">
        <v>65</v>
      </c>
      <c r="D455" s="1">
        <v>1997</v>
      </c>
      <c r="E455" s="1" t="s">
        <v>87</v>
      </c>
      <c r="F455" s="1">
        <v>86</v>
      </c>
      <c r="G455" s="3">
        <v>1823.8</v>
      </c>
    </row>
    <row r="456" spans="1:7" x14ac:dyDescent="0.25">
      <c r="A456" s="1">
        <v>4</v>
      </c>
      <c r="B456" s="1" t="s">
        <v>19</v>
      </c>
      <c r="C456" s="1" t="s">
        <v>65</v>
      </c>
      <c r="D456" s="1">
        <v>1997</v>
      </c>
      <c r="E456" s="1" t="s">
        <v>91</v>
      </c>
      <c r="F456" s="1">
        <v>80</v>
      </c>
      <c r="G456" s="3">
        <v>2097.5999980000001</v>
      </c>
    </row>
    <row r="457" spans="1:7" x14ac:dyDescent="0.25">
      <c r="A457" s="1">
        <v>3</v>
      </c>
      <c r="B457" s="1" t="s">
        <v>10</v>
      </c>
      <c r="C457" s="1" t="s">
        <v>65</v>
      </c>
      <c r="D457" s="1">
        <v>1997</v>
      </c>
      <c r="E457" s="1" t="s">
        <v>12</v>
      </c>
      <c r="F457" s="1">
        <v>197</v>
      </c>
      <c r="G457" s="3">
        <v>3276.0839989999999</v>
      </c>
    </row>
    <row r="458" spans="1:7" x14ac:dyDescent="0.25">
      <c r="A458" s="1">
        <v>7</v>
      </c>
      <c r="B458" s="1" t="s">
        <v>7</v>
      </c>
      <c r="C458" s="1" t="s">
        <v>65</v>
      </c>
      <c r="D458" s="1">
        <v>1997</v>
      </c>
      <c r="E458" s="1" t="s">
        <v>9</v>
      </c>
      <c r="F458" s="1">
        <v>46</v>
      </c>
      <c r="G458" s="3">
        <v>4666.9399999999996</v>
      </c>
    </row>
    <row r="459" spans="1:7" x14ac:dyDescent="0.25">
      <c r="A459" s="1">
        <v>7</v>
      </c>
      <c r="B459" s="1" t="s">
        <v>7</v>
      </c>
      <c r="C459" s="1" t="s">
        <v>67</v>
      </c>
      <c r="D459" s="1">
        <v>1997</v>
      </c>
      <c r="E459" s="1" t="s">
        <v>85</v>
      </c>
      <c r="F459" s="1">
        <v>13</v>
      </c>
      <c r="G459" s="3">
        <v>200</v>
      </c>
    </row>
    <row r="460" spans="1:7" x14ac:dyDescent="0.25">
      <c r="A460" s="1">
        <v>7</v>
      </c>
      <c r="B460" s="1" t="s">
        <v>7</v>
      </c>
      <c r="C460" s="1" t="s">
        <v>67</v>
      </c>
      <c r="D460" s="1">
        <v>1997</v>
      </c>
      <c r="E460" s="1" t="s">
        <v>17</v>
      </c>
      <c r="F460" s="1">
        <v>8</v>
      </c>
      <c r="G460" s="3">
        <v>500</v>
      </c>
    </row>
    <row r="461" spans="1:7" x14ac:dyDescent="0.25">
      <c r="A461" s="1">
        <v>6</v>
      </c>
      <c r="B461" s="1" t="s">
        <v>7</v>
      </c>
      <c r="C461" s="1" t="s">
        <v>68</v>
      </c>
      <c r="D461" s="1">
        <v>1997</v>
      </c>
      <c r="E461" s="1" t="s">
        <v>86</v>
      </c>
      <c r="F461" s="1">
        <v>143</v>
      </c>
      <c r="G461" s="3">
        <v>2944.399989</v>
      </c>
    </row>
    <row r="462" spans="1:7" x14ac:dyDescent="0.25">
      <c r="A462" s="1">
        <v>6</v>
      </c>
      <c r="B462" s="1" t="s">
        <v>7</v>
      </c>
      <c r="C462" s="1" t="s">
        <v>68</v>
      </c>
      <c r="D462" s="1">
        <v>1997</v>
      </c>
      <c r="E462" s="1" t="s">
        <v>85</v>
      </c>
      <c r="F462" s="1">
        <v>72</v>
      </c>
      <c r="G462" s="3">
        <v>4707.54</v>
      </c>
    </row>
    <row r="463" spans="1:7" x14ac:dyDescent="0.25">
      <c r="A463" s="1">
        <v>6</v>
      </c>
      <c r="B463" s="1" t="s">
        <v>7</v>
      </c>
      <c r="C463" s="1" t="s">
        <v>68</v>
      </c>
      <c r="D463" s="1">
        <v>1997</v>
      </c>
      <c r="E463" s="1" t="s">
        <v>12</v>
      </c>
      <c r="F463" s="1">
        <v>91</v>
      </c>
      <c r="G463" s="3">
        <v>3082</v>
      </c>
    </row>
    <row r="464" spans="1:7" x14ac:dyDescent="0.25">
      <c r="A464" s="1">
        <v>3</v>
      </c>
      <c r="B464" s="1" t="s">
        <v>10</v>
      </c>
      <c r="C464" s="1" t="s">
        <v>68</v>
      </c>
      <c r="D464" s="1">
        <v>1997</v>
      </c>
      <c r="E464" s="1" t="s">
        <v>12</v>
      </c>
      <c r="F464" s="1">
        <v>112</v>
      </c>
      <c r="G464" s="3">
        <v>2196</v>
      </c>
    </row>
    <row r="465" spans="1:7" x14ac:dyDescent="0.25">
      <c r="A465" s="1">
        <v>8</v>
      </c>
      <c r="B465" s="1" t="s">
        <v>13</v>
      </c>
      <c r="C465" s="1" t="s">
        <v>68</v>
      </c>
      <c r="D465" s="1">
        <v>1997</v>
      </c>
      <c r="E465" s="1" t="s">
        <v>23</v>
      </c>
      <c r="F465" s="1">
        <v>140</v>
      </c>
      <c r="G465" s="3">
        <v>1570</v>
      </c>
    </row>
    <row r="466" spans="1:7" x14ac:dyDescent="0.25">
      <c r="A466" s="1">
        <v>1</v>
      </c>
      <c r="B466" s="1" t="s">
        <v>19</v>
      </c>
      <c r="C466" s="1" t="s">
        <v>68</v>
      </c>
      <c r="D466" s="1">
        <v>1997</v>
      </c>
      <c r="E466" s="1" t="s">
        <v>23</v>
      </c>
      <c r="F466" s="1">
        <v>182</v>
      </c>
      <c r="G466" s="3">
        <v>2827.9</v>
      </c>
    </row>
    <row r="467" spans="1:7" x14ac:dyDescent="0.25">
      <c r="A467" s="1">
        <v>5</v>
      </c>
      <c r="B467" s="1" t="s">
        <v>19</v>
      </c>
      <c r="C467" s="1" t="s">
        <v>68</v>
      </c>
      <c r="D467" s="1">
        <v>1997</v>
      </c>
      <c r="E467" s="1" t="s">
        <v>23</v>
      </c>
      <c r="F467" s="1">
        <v>311</v>
      </c>
      <c r="G467" s="3">
        <v>6657.45</v>
      </c>
    </row>
    <row r="468" spans="1:7" x14ac:dyDescent="0.25">
      <c r="A468" s="1">
        <v>3</v>
      </c>
      <c r="B468" s="1" t="s">
        <v>10</v>
      </c>
      <c r="C468" s="1" t="s">
        <v>68</v>
      </c>
      <c r="D468" s="1">
        <v>1997</v>
      </c>
      <c r="E468" s="1" t="s">
        <v>23</v>
      </c>
      <c r="F468" s="1">
        <v>117</v>
      </c>
      <c r="G468" s="3">
        <v>1638.3999940000001</v>
      </c>
    </row>
    <row r="469" spans="1:7" x14ac:dyDescent="0.25">
      <c r="A469" s="1">
        <v>7</v>
      </c>
      <c r="B469" s="1" t="s">
        <v>7</v>
      </c>
      <c r="C469" s="1" t="s">
        <v>68</v>
      </c>
      <c r="D469" s="1">
        <v>1997</v>
      </c>
      <c r="E469" s="1" t="s">
        <v>9</v>
      </c>
      <c r="F469" s="1">
        <v>280</v>
      </c>
      <c r="G469" s="3">
        <v>5256.5</v>
      </c>
    </row>
    <row r="470" spans="1:7" x14ac:dyDescent="0.25">
      <c r="A470" s="1">
        <v>2</v>
      </c>
      <c r="B470" s="1" t="s">
        <v>19</v>
      </c>
      <c r="C470" s="1" t="s">
        <v>68</v>
      </c>
      <c r="D470" s="1">
        <v>1997</v>
      </c>
      <c r="E470" s="1" t="s">
        <v>9</v>
      </c>
      <c r="F470" s="1">
        <v>204</v>
      </c>
      <c r="G470" s="3">
        <v>4371.6000000000004</v>
      </c>
    </row>
    <row r="471" spans="1:7" x14ac:dyDescent="0.25">
      <c r="A471" s="1">
        <v>8</v>
      </c>
      <c r="B471" s="1" t="s">
        <v>13</v>
      </c>
      <c r="C471" s="1" t="s">
        <v>68</v>
      </c>
      <c r="D471" s="1">
        <v>1997</v>
      </c>
      <c r="E471" s="1" t="s">
        <v>17</v>
      </c>
      <c r="F471" s="1">
        <v>50</v>
      </c>
      <c r="G471" s="3">
        <v>1185.7499969999999</v>
      </c>
    </row>
    <row r="472" spans="1:7" x14ac:dyDescent="0.25">
      <c r="A472" s="1">
        <v>1</v>
      </c>
      <c r="B472" s="1" t="s">
        <v>19</v>
      </c>
      <c r="C472" s="1" t="s">
        <v>68</v>
      </c>
      <c r="D472" s="1">
        <v>1997</v>
      </c>
      <c r="E472" s="1" t="s">
        <v>21</v>
      </c>
      <c r="F472" s="1">
        <v>263</v>
      </c>
      <c r="G472" s="3">
        <v>6375</v>
      </c>
    </row>
    <row r="473" spans="1:7" x14ac:dyDescent="0.25">
      <c r="A473" s="1">
        <v>5</v>
      </c>
      <c r="B473" s="1" t="s">
        <v>19</v>
      </c>
      <c r="C473" s="1" t="s">
        <v>68</v>
      </c>
      <c r="D473" s="1">
        <v>1997</v>
      </c>
      <c r="E473" s="1" t="s">
        <v>21</v>
      </c>
      <c r="F473" s="1">
        <v>213</v>
      </c>
      <c r="G473" s="3">
        <v>6475.4</v>
      </c>
    </row>
    <row r="474" spans="1:7" x14ac:dyDescent="0.25">
      <c r="A474" s="1">
        <v>8</v>
      </c>
      <c r="B474" s="1" t="s">
        <v>13</v>
      </c>
      <c r="C474" s="1" t="s">
        <v>68</v>
      </c>
      <c r="D474" s="1">
        <v>1997</v>
      </c>
      <c r="E474" s="1" t="s">
        <v>21</v>
      </c>
      <c r="F474" s="1">
        <v>73</v>
      </c>
      <c r="G474" s="3">
        <v>1483</v>
      </c>
    </row>
    <row r="475" spans="1:7" x14ac:dyDescent="0.25">
      <c r="A475" s="1">
        <v>8</v>
      </c>
      <c r="B475" s="1" t="s">
        <v>13</v>
      </c>
      <c r="C475" s="1" t="s">
        <v>68</v>
      </c>
      <c r="D475" s="1">
        <v>1997</v>
      </c>
      <c r="E475" s="1" t="s">
        <v>88</v>
      </c>
      <c r="F475" s="1">
        <v>115</v>
      </c>
      <c r="G475" s="3">
        <v>2018.4999989999999</v>
      </c>
    </row>
    <row r="476" spans="1:7" x14ac:dyDescent="0.25">
      <c r="A476" s="1">
        <v>4</v>
      </c>
      <c r="B476" s="1" t="s">
        <v>19</v>
      </c>
      <c r="C476" s="1" t="s">
        <v>68</v>
      </c>
      <c r="D476" s="1">
        <v>1997</v>
      </c>
      <c r="E476" s="1" t="s">
        <v>88</v>
      </c>
      <c r="F476" s="1">
        <v>208</v>
      </c>
      <c r="G476" s="3">
        <v>4924.1349650000002</v>
      </c>
    </row>
    <row r="477" spans="1:7" x14ac:dyDescent="0.25">
      <c r="A477" s="1">
        <v>3</v>
      </c>
      <c r="B477" s="1" t="s">
        <v>10</v>
      </c>
      <c r="C477" s="1" t="s">
        <v>69</v>
      </c>
      <c r="D477" s="1">
        <v>1997</v>
      </c>
      <c r="E477" s="1" t="s">
        <v>87</v>
      </c>
      <c r="F477" s="1">
        <v>84</v>
      </c>
      <c r="G477" s="3">
        <v>1792.7999950000001</v>
      </c>
    </row>
    <row r="478" spans="1:7" x14ac:dyDescent="0.25">
      <c r="A478" s="1">
        <v>7</v>
      </c>
      <c r="B478" s="1" t="s">
        <v>7</v>
      </c>
      <c r="C478" s="1" t="s">
        <v>69</v>
      </c>
      <c r="D478" s="1">
        <v>1997</v>
      </c>
      <c r="E478" s="1" t="s">
        <v>87</v>
      </c>
      <c r="F478" s="1">
        <v>64</v>
      </c>
      <c r="G478" s="3">
        <v>2444.309996</v>
      </c>
    </row>
    <row r="479" spans="1:7" x14ac:dyDescent="0.25">
      <c r="A479" s="1">
        <v>1</v>
      </c>
      <c r="B479" s="1" t="s">
        <v>19</v>
      </c>
      <c r="C479" s="1" t="s">
        <v>69</v>
      </c>
      <c r="D479" s="1">
        <v>1997</v>
      </c>
      <c r="E479" s="1" t="s">
        <v>15</v>
      </c>
      <c r="F479" s="1">
        <v>67</v>
      </c>
      <c r="G479" s="3">
        <v>1468.934998</v>
      </c>
    </row>
    <row r="480" spans="1:7" x14ac:dyDescent="0.25">
      <c r="A480" s="1">
        <v>6</v>
      </c>
      <c r="B480" s="1" t="s">
        <v>7</v>
      </c>
      <c r="C480" s="1" t="s">
        <v>69</v>
      </c>
      <c r="D480" s="1">
        <v>1997</v>
      </c>
      <c r="E480" s="1" t="s">
        <v>15</v>
      </c>
      <c r="F480" s="1">
        <v>64</v>
      </c>
      <c r="G480" s="3">
        <v>2278.4</v>
      </c>
    </row>
    <row r="481" spans="1:7" x14ac:dyDescent="0.25">
      <c r="A481" s="1">
        <v>8</v>
      </c>
      <c r="B481" s="1" t="s">
        <v>13</v>
      </c>
      <c r="C481" s="1" t="s">
        <v>69</v>
      </c>
      <c r="D481" s="1">
        <v>1997</v>
      </c>
      <c r="E481" s="1" t="s">
        <v>89</v>
      </c>
      <c r="F481" s="1">
        <v>98</v>
      </c>
      <c r="G481" s="3">
        <v>1036.8</v>
      </c>
    </row>
    <row r="482" spans="1:7" x14ac:dyDescent="0.25">
      <c r="A482" s="1">
        <v>2</v>
      </c>
      <c r="B482" s="1" t="s">
        <v>19</v>
      </c>
      <c r="C482" s="1" t="s">
        <v>70</v>
      </c>
      <c r="D482" s="1">
        <v>1997</v>
      </c>
      <c r="E482" s="1" t="s">
        <v>86</v>
      </c>
      <c r="F482" s="1">
        <v>24</v>
      </c>
      <c r="G482" s="3">
        <v>835.2</v>
      </c>
    </row>
    <row r="483" spans="1:7" x14ac:dyDescent="0.25">
      <c r="A483" s="1">
        <v>4</v>
      </c>
      <c r="B483" s="1" t="s">
        <v>19</v>
      </c>
      <c r="C483" s="1" t="s">
        <v>70</v>
      </c>
      <c r="D483" s="1">
        <v>1997</v>
      </c>
      <c r="E483" s="1" t="s">
        <v>15</v>
      </c>
      <c r="F483" s="1">
        <v>120</v>
      </c>
      <c r="G483" s="3">
        <v>2942.8125</v>
      </c>
    </row>
    <row r="484" spans="1:7" x14ac:dyDescent="0.25">
      <c r="A484" s="1">
        <v>4</v>
      </c>
      <c r="B484" s="1" t="s">
        <v>19</v>
      </c>
      <c r="C484" s="1" t="s">
        <v>70</v>
      </c>
      <c r="D484" s="1">
        <v>1997</v>
      </c>
      <c r="E484" s="1" t="s">
        <v>91</v>
      </c>
      <c r="F484" s="1">
        <v>123</v>
      </c>
      <c r="G484" s="3">
        <v>11188.4</v>
      </c>
    </row>
    <row r="485" spans="1:7" x14ac:dyDescent="0.25">
      <c r="A485" s="1">
        <v>2</v>
      </c>
      <c r="B485" s="1" t="s">
        <v>19</v>
      </c>
      <c r="C485" s="1" t="s">
        <v>70</v>
      </c>
      <c r="D485" s="1">
        <v>1997</v>
      </c>
      <c r="E485" s="1" t="s">
        <v>9</v>
      </c>
      <c r="F485" s="1">
        <v>30</v>
      </c>
      <c r="G485" s="3">
        <v>570</v>
      </c>
    </row>
    <row r="486" spans="1:7" x14ac:dyDescent="0.25">
      <c r="A486" s="1">
        <v>7</v>
      </c>
      <c r="B486" s="1" t="s">
        <v>7</v>
      </c>
      <c r="C486" s="1" t="s">
        <v>70</v>
      </c>
      <c r="D486" s="1">
        <v>1997</v>
      </c>
      <c r="E486" s="1" t="s">
        <v>17</v>
      </c>
      <c r="F486" s="1">
        <v>50</v>
      </c>
      <c r="G486" s="3">
        <v>695.99999739999998</v>
      </c>
    </row>
    <row r="487" spans="1:7" x14ac:dyDescent="0.25">
      <c r="A487" s="1">
        <v>3</v>
      </c>
      <c r="B487" s="1" t="s">
        <v>10</v>
      </c>
      <c r="C487" s="1" t="s">
        <v>71</v>
      </c>
      <c r="D487" s="1">
        <v>1997</v>
      </c>
      <c r="E487" s="1" t="s">
        <v>91</v>
      </c>
      <c r="F487" s="1">
        <v>50</v>
      </c>
      <c r="G487" s="3">
        <v>485</v>
      </c>
    </row>
    <row r="488" spans="1:7" x14ac:dyDescent="0.25">
      <c r="A488" s="1">
        <v>8</v>
      </c>
      <c r="B488" s="1" t="s">
        <v>13</v>
      </c>
      <c r="C488" s="1" t="s">
        <v>71</v>
      </c>
      <c r="D488" s="1">
        <v>1997</v>
      </c>
      <c r="E488" s="1" t="s">
        <v>12</v>
      </c>
      <c r="F488" s="1">
        <v>67</v>
      </c>
      <c r="G488" s="3">
        <v>1989.9999929999999</v>
      </c>
    </row>
    <row r="489" spans="1:7" x14ac:dyDescent="0.25">
      <c r="A489" s="1">
        <v>2</v>
      </c>
      <c r="B489" s="1" t="s">
        <v>19</v>
      </c>
      <c r="C489" s="1" t="s">
        <v>107</v>
      </c>
      <c r="D489" s="1">
        <v>1997</v>
      </c>
      <c r="E489" s="1" t="s">
        <v>12</v>
      </c>
      <c r="F489" s="1">
        <v>3</v>
      </c>
      <c r="G489" s="3">
        <v>52.35</v>
      </c>
    </row>
    <row r="490" spans="1:7" x14ac:dyDescent="0.25">
      <c r="A490" s="1">
        <v>4</v>
      </c>
      <c r="B490" s="1" t="s">
        <v>19</v>
      </c>
      <c r="C490" s="1" t="s">
        <v>72</v>
      </c>
      <c r="D490" s="1">
        <v>1997</v>
      </c>
      <c r="E490" s="1" t="s">
        <v>15</v>
      </c>
      <c r="F490" s="1">
        <v>2</v>
      </c>
      <c r="G490" s="3">
        <v>28</v>
      </c>
    </row>
    <row r="491" spans="1:7" x14ac:dyDescent="0.25">
      <c r="A491" s="1">
        <v>9</v>
      </c>
      <c r="B491" s="1" t="s">
        <v>13</v>
      </c>
      <c r="C491" s="1" t="s">
        <v>72</v>
      </c>
      <c r="D491" s="1">
        <v>1997</v>
      </c>
      <c r="E491" s="1" t="s">
        <v>89</v>
      </c>
      <c r="F491" s="1">
        <v>137</v>
      </c>
      <c r="G491" s="3">
        <v>1505.179989</v>
      </c>
    </row>
    <row r="492" spans="1:7" x14ac:dyDescent="0.25">
      <c r="A492" s="1">
        <v>5</v>
      </c>
      <c r="B492" s="1" t="s">
        <v>19</v>
      </c>
      <c r="C492" s="1" t="s">
        <v>72</v>
      </c>
      <c r="D492" s="1">
        <v>1997</v>
      </c>
      <c r="E492" s="1" t="s">
        <v>89</v>
      </c>
      <c r="F492" s="1">
        <v>71</v>
      </c>
      <c r="G492" s="3">
        <v>713.3</v>
      </c>
    </row>
    <row r="493" spans="1:7" x14ac:dyDescent="0.25">
      <c r="A493" s="1">
        <v>7</v>
      </c>
      <c r="B493" s="1" t="s">
        <v>7</v>
      </c>
      <c r="C493" s="1" t="s">
        <v>72</v>
      </c>
      <c r="D493" s="1">
        <v>1997</v>
      </c>
      <c r="E493" s="1" t="s">
        <v>88</v>
      </c>
      <c r="F493" s="1">
        <v>145</v>
      </c>
      <c r="G493" s="3">
        <v>3891</v>
      </c>
    </row>
    <row r="494" spans="1:7" x14ac:dyDescent="0.25">
      <c r="A494" s="1">
        <v>2</v>
      </c>
      <c r="B494" s="1" t="s">
        <v>19</v>
      </c>
      <c r="C494" s="1" t="s">
        <v>73</v>
      </c>
      <c r="D494" s="1">
        <v>1997</v>
      </c>
      <c r="E494" s="1" t="s">
        <v>15</v>
      </c>
      <c r="F494" s="1">
        <v>20</v>
      </c>
      <c r="G494" s="3">
        <v>2775</v>
      </c>
    </row>
    <row r="495" spans="1:7" x14ac:dyDescent="0.25">
      <c r="A495" s="1">
        <v>6</v>
      </c>
      <c r="B495" s="1" t="s">
        <v>7</v>
      </c>
      <c r="C495" s="1" t="s">
        <v>73</v>
      </c>
      <c r="D495" s="1">
        <v>1997</v>
      </c>
      <c r="E495" s="1" t="s">
        <v>23</v>
      </c>
      <c r="F495" s="1">
        <v>9</v>
      </c>
      <c r="G495" s="3">
        <v>180.4</v>
      </c>
    </row>
    <row r="496" spans="1:7" x14ac:dyDescent="0.25">
      <c r="A496" s="1">
        <v>7</v>
      </c>
      <c r="B496" s="1" t="s">
        <v>7</v>
      </c>
      <c r="C496" s="1" t="s">
        <v>108</v>
      </c>
      <c r="D496" s="1">
        <v>1997</v>
      </c>
      <c r="E496" s="1" t="s">
        <v>15</v>
      </c>
      <c r="F496" s="1">
        <v>9</v>
      </c>
      <c r="G496" s="3">
        <v>228</v>
      </c>
    </row>
    <row r="497" spans="1:7" x14ac:dyDescent="0.25">
      <c r="A497" s="1">
        <v>4</v>
      </c>
      <c r="B497" s="1" t="s">
        <v>19</v>
      </c>
      <c r="C497" s="1" t="s">
        <v>108</v>
      </c>
      <c r="D497" s="1">
        <v>1997</v>
      </c>
      <c r="E497" s="1" t="s">
        <v>17</v>
      </c>
      <c r="F497" s="1">
        <v>26</v>
      </c>
      <c r="G497" s="3">
        <v>1393.24</v>
      </c>
    </row>
    <row r="498" spans="1:7" x14ac:dyDescent="0.25">
      <c r="A498" s="1">
        <v>3</v>
      </c>
      <c r="B498" s="1" t="s">
        <v>10</v>
      </c>
      <c r="C498" s="1" t="s">
        <v>74</v>
      </c>
      <c r="D498" s="1">
        <v>1997</v>
      </c>
      <c r="E498" s="1" t="s">
        <v>87</v>
      </c>
      <c r="F498" s="1">
        <v>24</v>
      </c>
      <c r="G498" s="3">
        <v>240.1</v>
      </c>
    </row>
    <row r="499" spans="1:7" x14ac:dyDescent="0.25">
      <c r="A499" s="1">
        <v>3</v>
      </c>
      <c r="B499" s="1" t="s">
        <v>10</v>
      </c>
      <c r="C499" s="1" t="s">
        <v>74</v>
      </c>
      <c r="D499" s="1">
        <v>1997</v>
      </c>
      <c r="E499" s="1" t="s">
        <v>88</v>
      </c>
      <c r="F499" s="1">
        <v>50</v>
      </c>
      <c r="G499" s="3">
        <v>453.99999830000002</v>
      </c>
    </row>
    <row r="500" spans="1:7" x14ac:dyDescent="0.25">
      <c r="A500" s="1">
        <v>6</v>
      </c>
      <c r="B500" s="1" t="s">
        <v>7</v>
      </c>
      <c r="C500" s="1" t="s">
        <v>74</v>
      </c>
      <c r="D500" s="1">
        <v>1997</v>
      </c>
      <c r="E500" s="1" t="s">
        <v>88</v>
      </c>
      <c r="F500" s="1">
        <v>50</v>
      </c>
      <c r="G500" s="3">
        <v>246.2399996</v>
      </c>
    </row>
    <row r="501" spans="1:7" x14ac:dyDescent="0.25">
      <c r="A501" s="1">
        <v>4</v>
      </c>
      <c r="B501" s="1" t="s">
        <v>19</v>
      </c>
      <c r="C501" s="1" t="s">
        <v>74</v>
      </c>
      <c r="D501" s="1">
        <v>1997</v>
      </c>
      <c r="E501" s="1" t="s">
        <v>21</v>
      </c>
      <c r="F501" s="1">
        <v>28</v>
      </c>
      <c r="G501" s="3">
        <v>1064</v>
      </c>
    </row>
    <row r="502" spans="1:7" x14ac:dyDescent="0.25">
      <c r="A502" s="1">
        <v>4</v>
      </c>
      <c r="B502" s="1" t="s">
        <v>19</v>
      </c>
      <c r="C502" s="1" t="s">
        <v>75</v>
      </c>
      <c r="D502" s="1">
        <v>1997</v>
      </c>
      <c r="E502" s="1" t="s">
        <v>85</v>
      </c>
      <c r="F502" s="1">
        <v>29</v>
      </c>
      <c r="G502" s="3">
        <v>4150.05</v>
      </c>
    </row>
    <row r="503" spans="1:7" x14ac:dyDescent="0.25">
      <c r="A503" s="1">
        <v>2</v>
      </c>
      <c r="B503" s="1" t="s">
        <v>19</v>
      </c>
      <c r="C503" s="1" t="s">
        <v>75</v>
      </c>
      <c r="D503" s="1">
        <v>1997</v>
      </c>
      <c r="E503" s="1" t="s">
        <v>9</v>
      </c>
      <c r="F503" s="1">
        <v>30</v>
      </c>
      <c r="G503" s="3">
        <v>534.85</v>
      </c>
    </row>
    <row r="504" spans="1:7" x14ac:dyDescent="0.25">
      <c r="A504" s="1">
        <v>3</v>
      </c>
      <c r="B504" s="1" t="s">
        <v>10</v>
      </c>
      <c r="C504" s="1" t="s">
        <v>75</v>
      </c>
      <c r="D504" s="1">
        <v>1997</v>
      </c>
      <c r="E504" s="1" t="s">
        <v>86</v>
      </c>
      <c r="F504" s="1">
        <v>51</v>
      </c>
      <c r="G504" s="3">
        <v>838.45</v>
      </c>
    </row>
    <row r="505" spans="1:7" x14ac:dyDescent="0.25">
      <c r="A505" s="1">
        <v>7</v>
      </c>
      <c r="B505" s="1" t="s">
        <v>7</v>
      </c>
      <c r="C505" s="1" t="s">
        <v>76</v>
      </c>
      <c r="D505" s="1">
        <v>1997</v>
      </c>
      <c r="E505" s="1" t="s">
        <v>85</v>
      </c>
      <c r="F505" s="1">
        <v>20</v>
      </c>
      <c r="G505" s="3">
        <v>189.99999990000001</v>
      </c>
    </row>
    <row r="506" spans="1:7" x14ac:dyDescent="0.25">
      <c r="A506" s="1">
        <v>4</v>
      </c>
      <c r="B506" s="1" t="s">
        <v>19</v>
      </c>
      <c r="C506" s="1" t="s">
        <v>76</v>
      </c>
      <c r="D506" s="1">
        <v>1997</v>
      </c>
      <c r="E506" s="1" t="s">
        <v>21</v>
      </c>
      <c r="F506" s="1">
        <v>50</v>
      </c>
      <c r="G506" s="3">
        <v>1130.3999960000001</v>
      </c>
    </row>
    <row r="507" spans="1:7" x14ac:dyDescent="0.25">
      <c r="A507" s="1">
        <v>9</v>
      </c>
      <c r="B507" s="1" t="s">
        <v>13</v>
      </c>
      <c r="C507" s="1" t="s">
        <v>109</v>
      </c>
      <c r="D507" s="1">
        <v>1997</v>
      </c>
      <c r="E507" s="1" t="s">
        <v>86</v>
      </c>
      <c r="F507" s="1">
        <v>48</v>
      </c>
      <c r="G507" s="3">
        <v>569</v>
      </c>
    </row>
    <row r="508" spans="1:7" x14ac:dyDescent="0.25">
      <c r="A508" s="1">
        <v>4</v>
      </c>
      <c r="B508" s="1" t="s">
        <v>19</v>
      </c>
      <c r="C508" s="1" t="s">
        <v>109</v>
      </c>
      <c r="D508" s="1">
        <v>1997</v>
      </c>
      <c r="E508" s="1" t="s">
        <v>86</v>
      </c>
      <c r="F508" s="1">
        <v>32</v>
      </c>
      <c r="G508" s="3">
        <v>764.3</v>
      </c>
    </row>
    <row r="509" spans="1:7" x14ac:dyDescent="0.25">
      <c r="A509" s="1">
        <v>3</v>
      </c>
      <c r="B509" s="1" t="s">
        <v>10</v>
      </c>
      <c r="C509" s="1" t="s">
        <v>77</v>
      </c>
      <c r="D509" s="1">
        <v>1997</v>
      </c>
      <c r="E509" s="1" t="s">
        <v>15</v>
      </c>
      <c r="F509" s="1">
        <v>80</v>
      </c>
      <c r="G509" s="3">
        <v>1684.2750000000001</v>
      </c>
    </row>
    <row r="510" spans="1:7" x14ac:dyDescent="0.25">
      <c r="A510" s="1">
        <v>6</v>
      </c>
      <c r="B510" s="1" t="s">
        <v>7</v>
      </c>
      <c r="C510" s="1" t="s">
        <v>77</v>
      </c>
      <c r="D510" s="1">
        <v>1997</v>
      </c>
      <c r="E510" s="1" t="s">
        <v>12</v>
      </c>
      <c r="F510" s="1">
        <v>50</v>
      </c>
      <c r="G510" s="3">
        <v>735.99999730000002</v>
      </c>
    </row>
    <row r="511" spans="1:7" x14ac:dyDescent="0.25">
      <c r="A511" s="1">
        <v>4</v>
      </c>
      <c r="B511" s="1" t="s">
        <v>19</v>
      </c>
      <c r="C511" s="1" t="s">
        <v>77</v>
      </c>
      <c r="D511" s="1">
        <v>1997</v>
      </c>
      <c r="E511" s="1" t="s">
        <v>23</v>
      </c>
      <c r="F511" s="1">
        <v>92</v>
      </c>
      <c r="G511" s="3">
        <v>3160.599995</v>
      </c>
    </row>
    <row r="512" spans="1:7" x14ac:dyDescent="0.25">
      <c r="A512" s="1">
        <v>8</v>
      </c>
      <c r="B512" s="1" t="s">
        <v>13</v>
      </c>
      <c r="C512" s="1" t="s">
        <v>77</v>
      </c>
      <c r="D512" s="1">
        <v>1997</v>
      </c>
      <c r="E512" s="1" t="s">
        <v>21</v>
      </c>
      <c r="F512" s="1">
        <v>5</v>
      </c>
      <c r="G512" s="3">
        <v>48.75</v>
      </c>
    </row>
    <row r="513" spans="1:7" x14ac:dyDescent="0.25">
      <c r="A513" s="1">
        <v>1</v>
      </c>
      <c r="B513" s="1" t="s">
        <v>19</v>
      </c>
      <c r="C513" s="1" t="s">
        <v>77</v>
      </c>
      <c r="D513" s="1">
        <v>1997</v>
      </c>
      <c r="E513" s="1" t="s">
        <v>89</v>
      </c>
      <c r="F513" s="1">
        <v>118</v>
      </c>
      <c r="G513" s="3">
        <v>2517.9999969999999</v>
      </c>
    </row>
    <row r="514" spans="1:7" x14ac:dyDescent="0.25">
      <c r="A514" s="1">
        <v>1</v>
      </c>
      <c r="B514" s="1" t="s">
        <v>19</v>
      </c>
      <c r="C514" s="1" t="s">
        <v>77</v>
      </c>
      <c r="D514" s="1">
        <v>1997</v>
      </c>
      <c r="E514" s="1" t="s">
        <v>21</v>
      </c>
      <c r="F514" s="1">
        <v>74</v>
      </c>
      <c r="G514" s="3">
        <v>812.5</v>
      </c>
    </row>
    <row r="515" spans="1:7" x14ac:dyDescent="0.25">
      <c r="A515" s="1">
        <v>1</v>
      </c>
      <c r="B515" s="1" t="s">
        <v>19</v>
      </c>
      <c r="C515" s="1" t="s">
        <v>78</v>
      </c>
      <c r="D515" s="1">
        <v>1997</v>
      </c>
      <c r="E515" s="1" t="s">
        <v>87</v>
      </c>
      <c r="F515" s="1">
        <v>80</v>
      </c>
      <c r="G515" s="3">
        <v>2812</v>
      </c>
    </row>
    <row r="516" spans="1:7" x14ac:dyDescent="0.25">
      <c r="A516" s="1">
        <v>3</v>
      </c>
      <c r="B516" s="1" t="s">
        <v>10</v>
      </c>
      <c r="C516" s="1" t="s">
        <v>78</v>
      </c>
      <c r="D516" s="1">
        <v>1997</v>
      </c>
      <c r="E516" s="1" t="s">
        <v>15</v>
      </c>
      <c r="F516" s="1">
        <v>37</v>
      </c>
      <c r="G516" s="3">
        <v>439.6</v>
      </c>
    </row>
    <row r="517" spans="1:7" x14ac:dyDescent="0.25">
      <c r="A517" s="1">
        <v>8</v>
      </c>
      <c r="B517" s="1" t="s">
        <v>13</v>
      </c>
      <c r="C517" s="1" t="s">
        <v>78</v>
      </c>
      <c r="D517" s="1">
        <v>1997</v>
      </c>
      <c r="E517" s="1" t="s">
        <v>88</v>
      </c>
      <c r="F517" s="1">
        <v>26</v>
      </c>
      <c r="G517" s="3">
        <v>425.11999839999999</v>
      </c>
    </row>
    <row r="518" spans="1:7" x14ac:dyDescent="0.25">
      <c r="A518" s="1">
        <v>2</v>
      </c>
      <c r="B518" s="1" t="s">
        <v>19</v>
      </c>
      <c r="C518" s="1" t="s">
        <v>78</v>
      </c>
      <c r="D518" s="1">
        <v>1997</v>
      </c>
      <c r="E518" s="1" t="s">
        <v>89</v>
      </c>
      <c r="F518" s="1">
        <v>20</v>
      </c>
      <c r="G518" s="3">
        <v>471.19999960000001</v>
      </c>
    </row>
    <row r="519" spans="1:7" x14ac:dyDescent="0.25">
      <c r="A519" s="1">
        <v>4</v>
      </c>
      <c r="B519" s="1" t="s">
        <v>19</v>
      </c>
      <c r="C519" s="1" t="s">
        <v>78</v>
      </c>
      <c r="D519" s="1">
        <v>1997</v>
      </c>
      <c r="E519" s="1" t="s">
        <v>88</v>
      </c>
      <c r="F519" s="1">
        <v>76</v>
      </c>
      <c r="G519" s="3">
        <v>1659.2</v>
      </c>
    </row>
    <row r="520" spans="1:7" x14ac:dyDescent="0.25">
      <c r="A520" s="1">
        <v>2</v>
      </c>
      <c r="B520" s="1" t="s">
        <v>19</v>
      </c>
      <c r="C520" s="1" t="s">
        <v>79</v>
      </c>
      <c r="D520" s="1">
        <v>1997</v>
      </c>
      <c r="E520" s="1" t="s">
        <v>12</v>
      </c>
      <c r="F520" s="1">
        <v>16</v>
      </c>
      <c r="G520" s="3">
        <v>139.80000000000001</v>
      </c>
    </row>
    <row r="521" spans="1:7" x14ac:dyDescent="0.25">
      <c r="A521" s="1">
        <v>3</v>
      </c>
      <c r="B521" s="1" t="s">
        <v>10</v>
      </c>
      <c r="C521" s="1" t="s">
        <v>79</v>
      </c>
      <c r="D521" s="1">
        <v>1997</v>
      </c>
      <c r="E521" s="1" t="s">
        <v>12</v>
      </c>
      <c r="F521" s="1">
        <v>24</v>
      </c>
      <c r="G521" s="3">
        <v>240</v>
      </c>
    </row>
    <row r="522" spans="1:7" x14ac:dyDescent="0.25">
      <c r="A522" s="1">
        <v>2</v>
      </c>
      <c r="B522" s="1" t="s">
        <v>19</v>
      </c>
      <c r="C522" s="1" t="s">
        <v>80</v>
      </c>
      <c r="D522" s="1">
        <v>1997</v>
      </c>
      <c r="E522" s="1" t="s">
        <v>87</v>
      </c>
      <c r="F522" s="1">
        <v>89</v>
      </c>
      <c r="G522" s="3">
        <v>1546.3</v>
      </c>
    </row>
    <row r="523" spans="1:7" x14ac:dyDescent="0.25">
      <c r="A523" s="1">
        <v>8</v>
      </c>
      <c r="B523" s="1" t="s">
        <v>13</v>
      </c>
      <c r="C523" s="1" t="s">
        <v>80</v>
      </c>
      <c r="D523" s="1">
        <v>1997</v>
      </c>
      <c r="E523" s="1" t="s">
        <v>88</v>
      </c>
      <c r="F523" s="1">
        <v>140</v>
      </c>
      <c r="G523" s="3">
        <v>3077</v>
      </c>
    </row>
    <row r="524" spans="1:7" x14ac:dyDescent="0.25">
      <c r="A524" s="1">
        <v>4</v>
      </c>
      <c r="B524" s="1" t="s">
        <v>19</v>
      </c>
      <c r="C524" s="1" t="s">
        <v>80</v>
      </c>
      <c r="D524" s="1">
        <v>1997</v>
      </c>
      <c r="E524" s="1" t="s">
        <v>87</v>
      </c>
      <c r="F524" s="1">
        <v>48</v>
      </c>
      <c r="G524" s="3">
        <v>1151.3999920000001</v>
      </c>
    </row>
    <row r="525" spans="1:7" x14ac:dyDescent="0.25">
      <c r="A525" s="1">
        <v>2</v>
      </c>
      <c r="B525" s="1" t="s">
        <v>19</v>
      </c>
      <c r="C525" s="1" t="s">
        <v>80</v>
      </c>
      <c r="D525" s="1">
        <v>1997</v>
      </c>
      <c r="E525" s="1" t="s">
        <v>15</v>
      </c>
      <c r="F525" s="1">
        <v>58</v>
      </c>
      <c r="G525" s="3">
        <v>975.87999769999999</v>
      </c>
    </row>
    <row r="526" spans="1:7" x14ac:dyDescent="0.25">
      <c r="A526" s="1">
        <v>8</v>
      </c>
      <c r="B526" s="1" t="s">
        <v>13</v>
      </c>
      <c r="C526" s="1" t="s">
        <v>80</v>
      </c>
      <c r="D526" s="1">
        <v>1997</v>
      </c>
      <c r="E526" s="1" t="s">
        <v>91</v>
      </c>
      <c r="F526" s="1">
        <v>70</v>
      </c>
      <c r="G526" s="3">
        <v>1054.7999990000001</v>
      </c>
    </row>
    <row r="527" spans="1:7" x14ac:dyDescent="0.25">
      <c r="A527" s="1">
        <v>9</v>
      </c>
      <c r="B527" s="1" t="s">
        <v>13</v>
      </c>
      <c r="C527" s="1" t="s">
        <v>80</v>
      </c>
      <c r="D527" s="1">
        <v>1997</v>
      </c>
      <c r="E527" s="1" t="s">
        <v>12</v>
      </c>
      <c r="F527" s="1">
        <v>70</v>
      </c>
      <c r="G527" s="3">
        <v>1590.5624889999999</v>
      </c>
    </row>
    <row r="528" spans="1:7" x14ac:dyDescent="0.25">
      <c r="A528" s="1">
        <v>4</v>
      </c>
      <c r="B528" s="1" t="s">
        <v>19</v>
      </c>
      <c r="C528" s="1" t="s">
        <v>80</v>
      </c>
      <c r="D528" s="1">
        <v>1997</v>
      </c>
      <c r="E528" s="1" t="s">
        <v>17</v>
      </c>
      <c r="F528" s="1">
        <v>31</v>
      </c>
      <c r="G528" s="3">
        <v>629.5</v>
      </c>
    </row>
    <row r="529" spans="1:7" x14ac:dyDescent="0.25">
      <c r="A529" s="1">
        <v>2</v>
      </c>
      <c r="B529" s="1" t="s">
        <v>19</v>
      </c>
      <c r="C529" s="1" t="s">
        <v>80</v>
      </c>
      <c r="D529" s="1">
        <v>1997</v>
      </c>
      <c r="E529" s="1" t="s">
        <v>86</v>
      </c>
      <c r="F529" s="1">
        <v>44</v>
      </c>
      <c r="G529" s="3">
        <v>2237.4999929999999</v>
      </c>
    </row>
    <row r="530" spans="1:7" x14ac:dyDescent="0.25">
      <c r="A530" s="1">
        <v>4</v>
      </c>
      <c r="B530" s="1" t="s">
        <v>19</v>
      </c>
      <c r="C530" s="1" t="s">
        <v>81</v>
      </c>
      <c r="D530" s="1">
        <v>1997</v>
      </c>
      <c r="E530" s="1" t="s">
        <v>15</v>
      </c>
      <c r="F530" s="1">
        <v>54</v>
      </c>
      <c r="G530" s="3">
        <v>1193.0099990000001</v>
      </c>
    </row>
    <row r="531" spans="1:7" x14ac:dyDescent="0.25">
      <c r="A531" s="1">
        <v>3</v>
      </c>
      <c r="B531" s="1" t="s">
        <v>10</v>
      </c>
      <c r="C531" s="1" t="s">
        <v>81</v>
      </c>
      <c r="D531" s="1">
        <v>1997</v>
      </c>
      <c r="E531" s="1" t="s">
        <v>91</v>
      </c>
      <c r="F531" s="1">
        <v>50</v>
      </c>
      <c r="G531" s="3">
        <v>1707.839997</v>
      </c>
    </row>
    <row r="532" spans="1:7" x14ac:dyDescent="0.25">
      <c r="A532" s="1">
        <v>3</v>
      </c>
      <c r="B532" s="1" t="s">
        <v>10</v>
      </c>
      <c r="C532" s="1" t="s">
        <v>81</v>
      </c>
      <c r="D532" s="1">
        <v>1997</v>
      </c>
      <c r="E532" s="1" t="s">
        <v>17</v>
      </c>
      <c r="F532" s="1">
        <v>45</v>
      </c>
      <c r="G532" s="3">
        <v>1371.7999990000001</v>
      </c>
    </row>
    <row r="533" spans="1:7" x14ac:dyDescent="0.25">
      <c r="A533" s="1">
        <v>7</v>
      </c>
      <c r="B533" s="1" t="s">
        <v>7</v>
      </c>
      <c r="C533" s="1" t="s">
        <v>81</v>
      </c>
      <c r="D533" s="1">
        <v>1997</v>
      </c>
      <c r="E533" s="1" t="s">
        <v>21</v>
      </c>
      <c r="F533" s="1">
        <v>15</v>
      </c>
      <c r="G533" s="3">
        <v>142.5</v>
      </c>
    </row>
    <row r="534" spans="1:7" x14ac:dyDescent="0.25">
      <c r="A534" s="1">
        <v>4</v>
      </c>
      <c r="B534" s="1" t="s">
        <v>19</v>
      </c>
      <c r="C534" s="1" t="s">
        <v>82</v>
      </c>
      <c r="D534" s="1">
        <v>1997</v>
      </c>
      <c r="E534" s="1" t="s">
        <v>85</v>
      </c>
      <c r="F534" s="1">
        <v>59</v>
      </c>
      <c r="G534" s="3">
        <v>1388.5</v>
      </c>
    </row>
    <row r="535" spans="1:7" x14ac:dyDescent="0.25">
      <c r="A535" s="1">
        <v>4</v>
      </c>
      <c r="B535" s="1" t="s">
        <v>19</v>
      </c>
      <c r="C535" s="1" t="s">
        <v>82</v>
      </c>
      <c r="D535" s="1">
        <v>1997</v>
      </c>
      <c r="E535" s="1" t="s">
        <v>12</v>
      </c>
      <c r="F535" s="1">
        <v>94</v>
      </c>
      <c r="G535" s="3">
        <v>1415.9999949999999</v>
      </c>
    </row>
    <row r="536" spans="1:7" x14ac:dyDescent="0.25">
      <c r="A536" s="1">
        <v>8</v>
      </c>
      <c r="B536" s="1" t="s">
        <v>13</v>
      </c>
      <c r="C536" s="1" t="s">
        <v>82</v>
      </c>
      <c r="D536" s="1">
        <v>1997</v>
      </c>
      <c r="E536" s="1" t="s">
        <v>23</v>
      </c>
      <c r="F536" s="1">
        <v>38</v>
      </c>
      <c r="G536" s="3">
        <v>996</v>
      </c>
    </row>
    <row r="537" spans="1:7" x14ac:dyDescent="0.25">
      <c r="A537" s="1">
        <v>3</v>
      </c>
      <c r="B537" s="1" t="s">
        <v>10</v>
      </c>
      <c r="C537" s="1" t="s">
        <v>82</v>
      </c>
      <c r="D537" s="1">
        <v>1997</v>
      </c>
      <c r="E537" s="1" t="s">
        <v>23</v>
      </c>
      <c r="F537" s="1">
        <v>126</v>
      </c>
      <c r="G537" s="3">
        <v>2539.6499899999999</v>
      </c>
    </row>
    <row r="538" spans="1:7" x14ac:dyDescent="0.25">
      <c r="A538" s="1">
        <v>8</v>
      </c>
      <c r="B538" s="1" t="s">
        <v>13</v>
      </c>
      <c r="C538" s="1" t="s">
        <v>82</v>
      </c>
      <c r="D538" s="1">
        <v>1997</v>
      </c>
      <c r="E538" s="1" t="s">
        <v>21</v>
      </c>
      <c r="F538" s="1">
        <v>59</v>
      </c>
      <c r="G538" s="3">
        <v>1180.8799959999999</v>
      </c>
    </row>
    <row r="539" spans="1:7" x14ac:dyDescent="0.25">
      <c r="A539" s="1">
        <v>7</v>
      </c>
      <c r="B539" s="1" t="s">
        <v>7</v>
      </c>
      <c r="C539" s="1" t="s">
        <v>82</v>
      </c>
      <c r="D539" s="1">
        <v>1997</v>
      </c>
      <c r="E539" s="1" t="s">
        <v>89</v>
      </c>
      <c r="F539" s="1">
        <v>65</v>
      </c>
      <c r="G539" s="3">
        <v>668.79999950000001</v>
      </c>
    </row>
    <row r="540" spans="1:7" x14ac:dyDescent="0.25">
      <c r="A540" s="1">
        <v>1</v>
      </c>
      <c r="B540" s="1" t="s">
        <v>19</v>
      </c>
      <c r="C540" s="1" t="s">
        <v>82</v>
      </c>
      <c r="D540" s="1">
        <v>1997</v>
      </c>
      <c r="E540" s="1" t="s">
        <v>89</v>
      </c>
      <c r="F540" s="1">
        <v>77</v>
      </c>
      <c r="G540" s="3">
        <v>956.67499329999998</v>
      </c>
    </row>
    <row r="541" spans="1:7" x14ac:dyDescent="0.25">
      <c r="A541" s="1">
        <v>7</v>
      </c>
      <c r="B541" s="1" t="s">
        <v>7</v>
      </c>
      <c r="C541" s="1" t="s">
        <v>110</v>
      </c>
      <c r="D541" s="1">
        <v>1997</v>
      </c>
      <c r="E541" s="1" t="s">
        <v>23</v>
      </c>
      <c r="F541" s="1">
        <v>34</v>
      </c>
      <c r="G541" s="3">
        <v>642</v>
      </c>
    </row>
    <row r="542" spans="1:7" x14ac:dyDescent="0.25">
      <c r="A542" s="1">
        <v>2</v>
      </c>
      <c r="B542" s="1" t="s">
        <v>19</v>
      </c>
      <c r="C542" s="1" t="s">
        <v>110</v>
      </c>
      <c r="D542" s="1">
        <v>1997</v>
      </c>
      <c r="E542" s="1" t="s">
        <v>9</v>
      </c>
      <c r="F542" s="1">
        <v>15</v>
      </c>
      <c r="G542" s="3">
        <v>412.35</v>
      </c>
    </row>
    <row r="543" spans="1:7" x14ac:dyDescent="0.25">
      <c r="A543" s="1">
        <v>2</v>
      </c>
      <c r="B543" s="1" t="s">
        <v>19</v>
      </c>
      <c r="C543" s="1" t="s">
        <v>110</v>
      </c>
      <c r="D543" s="1">
        <v>1997</v>
      </c>
      <c r="E543" s="1" t="s">
        <v>21</v>
      </c>
      <c r="F543" s="1">
        <v>5</v>
      </c>
      <c r="G543" s="3">
        <v>120</v>
      </c>
    </row>
    <row r="544" spans="1:7" x14ac:dyDescent="0.25">
      <c r="A544" s="1">
        <v>1</v>
      </c>
      <c r="B544" s="1" t="s">
        <v>19</v>
      </c>
      <c r="C544" s="1" t="s">
        <v>83</v>
      </c>
      <c r="D544" s="1">
        <v>1997</v>
      </c>
      <c r="E544" s="1" t="s">
        <v>15</v>
      </c>
      <c r="F544" s="1">
        <v>28</v>
      </c>
      <c r="G544" s="3">
        <v>399.85</v>
      </c>
    </row>
    <row r="545" spans="1:7" x14ac:dyDescent="0.25">
      <c r="A545" s="1">
        <v>6</v>
      </c>
      <c r="B545" s="1" t="s">
        <v>7</v>
      </c>
      <c r="C545" s="1" t="s">
        <v>83</v>
      </c>
      <c r="D545" s="1">
        <v>1997</v>
      </c>
      <c r="E545" s="1" t="s">
        <v>21</v>
      </c>
      <c r="F545" s="1">
        <v>31</v>
      </c>
      <c r="G545" s="3">
        <v>808</v>
      </c>
    </row>
    <row r="546" spans="1:7" x14ac:dyDescent="0.25">
      <c r="A546" s="1">
        <v>1</v>
      </c>
      <c r="B546" s="1" t="s">
        <v>19</v>
      </c>
      <c r="C546" s="1" t="s">
        <v>84</v>
      </c>
      <c r="D546" s="1">
        <v>1998</v>
      </c>
      <c r="E546" s="1" t="s">
        <v>89</v>
      </c>
      <c r="F546" s="1">
        <v>18</v>
      </c>
      <c r="G546" s="3">
        <v>471.19999969999998</v>
      </c>
    </row>
    <row r="547" spans="1:7" x14ac:dyDescent="0.25">
      <c r="A547" s="1">
        <v>1</v>
      </c>
      <c r="B547" s="1" t="s">
        <v>19</v>
      </c>
      <c r="C547" s="1" t="s">
        <v>84</v>
      </c>
      <c r="D547" s="1">
        <v>1998</v>
      </c>
      <c r="E547" s="1" t="s">
        <v>91</v>
      </c>
      <c r="F547" s="1">
        <v>17</v>
      </c>
      <c r="G547" s="3">
        <v>845.79999989999999</v>
      </c>
    </row>
    <row r="548" spans="1:7" x14ac:dyDescent="0.25">
      <c r="A548" s="1">
        <v>3</v>
      </c>
      <c r="B548" s="1" t="s">
        <v>10</v>
      </c>
      <c r="C548" s="1" t="s">
        <v>84</v>
      </c>
      <c r="D548" s="1">
        <v>1998</v>
      </c>
      <c r="E548" s="1" t="s">
        <v>85</v>
      </c>
      <c r="F548" s="1">
        <v>60</v>
      </c>
      <c r="G548" s="3">
        <v>933.49999960000002</v>
      </c>
    </row>
    <row r="549" spans="1:7" x14ac:dyDescent="0.25">
      <c r="A549" s="1">
        <v>4</v>
      </c>
      <c r="B549" s="1" t="s">
        <v>19</v>
      </c>
      <c r="C549" s="1" t="s">
        <v>8</v>
      </c>
      <c r="D549" s="1">
        <v>1998</v>
      </c>
      <c r="E549" s="1" t="s">
        <v>89</v>
      </c>
      <c r="F549" s="1">
        <v>29</v>
      </c>
      <c r="G549" s="3">
        <v>514.4</v>
      </c>
    </row>
    <row r="550" spans="1:7" x14ac:dyDescent="0.25">
      <c r="A550" s="1">
        <v>3</v>
      </c>
      <c r="B550" s="1" t="s">
        <v>10</v>
      </c>
      <c r="C550" s="1" t="s">
        <v>11</v>
      </c>
      <c r="D550" s="1">
        <v>1998</v>
      </c>
      <c r="E550" s="1" t="s">
        <v>91</v>
      </c>
      <c r="F550" s="1">
        <v>40</v>
      </c>
      <c r="G550" s="3">
        <v>660</v>
      </c>
    </row>
    <row r="551" spans="1:7" x14ac:dyDescent="0.25">
      <c r="A551" s="1">
        <v>4</v>
      </c>
      <c r="B551" s="1" t="s">
        <v>19</v>
      </c>
      <c r="C551" s="1" t="s">
        <v>14</v>
      </c>
      <c r="D551" s="1">
        <v>1998</v>
      </c>
      <c r="E551" s="1" t="s">
        <v>88</v>
      </c>
      <c r="F551" s="1">
        <v>19</v>
      </c>
      <c r="G551" s="3">
        <v>282</v>
      </c>
    </row>
    <row r="552" spans="1:7" x14ac:dyDescent="0.25">
      <c r="A552" s="1">
        <v>9</v>
      </c>
      <c r="B552" s="1" t="s">
        <v>13</v>
      </c>
      <c r="C552" s="1" t="s">
        <v>14</v>
      </c>
      <c r="D552" s="1">
        <v>1998</v>
      </c>
      <c r="E552" s="1" t="s">
        <v>85</v>
      </c>
      <c r="F552" s="1">
        <v>31</v>
      </c>
      <c r="G552" s="3">
        <v>491.5</v>
      </c>
    </row>
    <row r="553" spans="1:7" x14ac:dyDescent="0.25">
      <c r="A553" s="1">
        <v>9</v>
      </c>
      <c r="B553" s="1" t="s">
        <v>13</v>
      </c>
      <c r="C553" s="1" t="s">
        <v>14</v>
      </c>
      <c r="D553" s="1">
        <v>1998</v>
      </c>
      <c r="E553" s="1" t="s">
        <v>89</v>
      </c>
      <c r="F553" s="1">
        <v>100</v>
      </c>
      <c r="G553" s="3">
        <v>4441.2499969999999</v>
      </c>
    </row>
    <row r="554" spans="1:7" x14ac:dyDescent="0.25">
      <c r="A554" s="1">
        <v>4</v>
      </c>
      <c r="B554" s="1" t="s">
        <v>19</v>
      </c>
      <c r="C554" s="1" t="s">
        <v>14</v>
      </c>
      <c r="D554" s="1">
        <v>1998</v>
      </c>
      <c r="E554" s="1" t="s">
        <v>89</v>
      </c>
      <c r="F554" s="1">
        <v>24</v>
      </c>
      <c r="G554" s="3">
        <v>390</v>
      </c>
    </row>
    <row r="555" spans="1:7" x14ac:dyDescent="0.25">
      <c r="A555" s="1">
        <v>3</v>
      </c>
      <c r="B555" s="1" t="s">
        <v>10</v>
      </c>
      <c r="C555" s="1" t="s">
        <v>16</v>
      </c>
      <c r="D555" s="1">
        <v>1998</v>
      </c>
      <c r="E555" s="1" t="s">
        <v>89</v>
      </c>
      <c r="F555" s="1">
        <v>4</v>
      </c>
      <c r="G555" s="3">
        <v>220</v>
      </c>
    </row>
    <row r="556" spans="1:7" x14ac:dyDescent="0.25">
      <c r="A556" s="1">
        <v>1</v>
      </c>
      <c r="B556" s="1" t="s">
        <v>19</v>
      </c>
      <c r="C556" s="1" t="s">
        <v>16</v>
      </c>
      <c r="D556" s="1">
        <v>1998</v>
      </c>
      <c r="E556" s="1" t="s">
        <v>85</v>
      </c>
      <c r="F556" s="1">
        <v>34</v>
      </c>
      <c r="G556" s="3">
        <v>1500</v>
      </c>
    </row>
    <row r="557" spans="1:7" x14ac:dyDescent="0.25">
      <c r="A557" s="1">
        <v>4</v>
      </c>
      <c r="B557" s="1" t="s">
        <v>19</v>
      </c>
      <c r="C557" s="1" t="s">
        <v>16</v>
      </c>
      <c r="D557" s="1">
        <v>1998</v>
      </c>
      <c r="E557" s="1" t="s">
        <v>89</v>
      </c>
      <c r="F557" s="1">
        <v>51</v>
      </c>
      <c r="G557" s="3">
        <v>711</v>
      </c>
    </row>
    <row r="558" spans="1:7" x14ac:dyDescent="0.25">
      <c r="A558" s="1">
        <v>9</v>
      </c>
      <c r="B558" s="1" t="s">
        <v>13</v>
      </c>
      <c r="C558" s="1" t="s">
        <v>18</v>
      </c>
      <c r="D558" s="1">
        <v>1998</v>
      </c>
      <c r="E558" s="1" t="s">
        <v>91</v>
      </c>
      <c r="F558" s="1">
        <v>92</v>
      </c>
      <c r="G558" s="3">
        <v>1064.5</v>
      </c>
    </row>
    <row r="559" spans="1:7" x14ac:dyDescent="0.25">
      <c r="A559" s="1">
        <v>4</v>
      </c>
      <c r="B559" s="1" t="s">
        <v>19</v>
      </c>
      <c r="C559" s="1" t="s">
        <v>18</v>
      </c>
      <c r="D559" s="1">
        <v>1998</v>
      </c>
      <c r="E559" s="1" t="s">
        <v>88</v>
      </c>
      <c r="F559" s="1">
        <v>61</v>
      </c>
      <c r="G559" s="3">
        <v>709.54999969999994</v>
      </c>
    </row>
    <row r="560" spans="1:7" x14ac:dyDescent="0.25">
      <c r="A560" s="1">
        <v>8</v>
      </c>
      <c r="B560" s="1" t="s">
        <v>13</v>
      </c>
      <c r="C560" s="1" t="s">
        <v>18</v>
      </c>
      <c r="D560" s="1">
        <v>1998</v>
      </c>
      <c r="E560" s="1" t="s">
        <v>91</v>
      </c>
      <c r="F560" s="1">
        <v>75</v>
      </c>
      <c r="G560" s="3">
        <v>2048.2125000000001</v>
      </c>
    </row>
    <row r="561" spans="1:7" x14ac:dyDescent="0.25">
      <c r="A561" s="1">
        <v>5</v>
      </c>
      <c r="B561" s="1" t="s">
        <v>19</v>
      </c>
      <c r="C561" s="1" t="s">
        <v>18</v>
      </c>
      <c r="D561" s="1">
        <v>1998</v>
      </c>
      <c r="E561" s="1" t="s">
        <v>88</v>
      </c>
      <c r="F561" s="1">
        <v>67</v>
      </c>
      <c r="G561" s="3">
        <v>1096.2</v>
      </c>
    </row>
    <row r="562" spans="1:7" x14ac:dyDescent="0.25">
      <c r="A562" s="1">
        <v>3</v>
      </c>
      <c r="B562" s="1" t="s">
        <v>10</v>
      </c>
      <c r="C562" s="1" t="s">
        <v>18</v>
      </c>
      <c r="D562" s="1">
        <v>1998</v>
      </c>
      <c r="E562" s="1" t="s">
        <v>89</v>
      </c>
      <c r="F562" s="1">
        <v>56</v>
      </c>
      <c r="G562" s="3">
        <v>1835.6999969999999</v>
      </c>
    </row>
    <row r="563" spans="1:7" x14ac:dyDescent="0.25">
      <c r="A563" s="1">
        <v>9</v>
      </c>
      <c r="B563" s="1" t="s">
        <v>13</v>
      </c>
      <c r="C563" s="1" t="s">
        <v>90</v>
      </c>
      <c r="D563" s="1">
        <v>1998</v>
      </c>
      <c r="E563" s="1" t="s">
        <v>91</v>
      </c>
      <c r="F563" s="1">
        <v>10</v>
      </c>
      <c r="G563" s="3">
        <v>625</v>
      </c>
    </row>
    <row r="564" spans="1:7" x14ac:dyDescent="0.25">
      <c r="A564" s="1">
        <v>6</v>
      </c>
      <c r="B564" s="1" t="s">
        <v>7</v>
      </c>
      <c r="C564" s="1" t="s">
        <v>90</v>
      </c>
      <c r="D564" s="1">
        <v>1998</v>
      </c>
      <c r="E564" s="1" t="s">
        <v>89</v>
      </c>
      <c r="F564" s="1">
        <v>34</v>
      </c>
      <c r="G564" s="3">
        <v>677</v>
      </c>
    </row>
    <row r="565" spans="1:7" x14ac:dyDescent="0.25">
      <c r="A565" s="1">
        <v>9</v>
      </c>
      <c r="B565" s="1" t="s">
        <v>13</v>
      </c>
      <c r="C565" s="1" t="s">
        <v>90</v>
      </c>
      <c r="D565" s="1">
        <v>1998</v>
      </c>
      <c r="E565" s="1" t="s">
        <v>85</v>
      </c>
      <c r="F565" s="1">
        <v>28</v>
      </c>
      <c r="G565" s="3">
        <v>858</v>
      </c>
    </row>
    <row r="566" spans="1:7" x14ac:dyDescent="0.25">
      <c r="A566" s="1">
        <v>6</v>
      </c>
      <c r="B566" s="1" t="s">
        <v>7</v>
      </c>
      <c r="C566" s="1" t="s">
        <v>20</v>
      </c>
      <c r="D566" s="1">
        <v>1998</v>
      </c>
      <c r="E566" s="1" t="s">
        <v>91</v>
      </c>
      <c r="F566" s="1">
        <v>50</v>
      </c>
      <c r="G566" s="3">
        <v>730</v>
      </c>
    </row>
    <row r="567" spans="1:7" x14ac:dyDescent="0.25">
      <c r="A567" s="1">
        <v>7</v>
      </c>
      <c r="B567" s="1" t="s">
        <v>7</v>
      </c>
      <c r="C567" s="1" t="s">
        <v>22</v>
      </c>
      <c r="D567" s="1">
        <v>1998</v>
      </c>
      <c r="E567" s="1" t="s">
        <v>88</v>
      </c>
      <c r="F567" s="1">
        <v>41</v>
      </c>
      <c r="G567" s="3">
        <v>917</v>
      </c>
    </row>
    <row r="568" spans="1:7" x14ac:dyDescent="0.25">
      <c r="A568" s="1">
        <v>8</v>
      </c>
      <c r="B568" s="1" t="s">
        <v>13</v>
      </c>
      <c r="C568" s="1" t="s">
        <v>22</v>
      </c>
      <c r="D568" s="1">
        <v>1998</v>
      </c>
      <c r="E568" s="1" t="s">
        <v>89</v>
      </c>
      <c r="F568" s="1">
        <v>108</v>
      </c>
      <c r="G568" s="3">
        <v>2148.6299979999999</v>
      </c>
    </row>
    <row r="569" spans="1:7" x14ac:dyDescent="0.25">
      <c r="A569" s="1">
        <v>9</v>
      </c>
      <c r="B569" s="1" t="s">
        <v>13</v>
      </c>
      <c r="C569" s="1" t="s">
        <v>22</v>
      </c>
      <c r="D569" s="1">
        <v>1998</v>
      </c>
      <c r="E569" s="1" t="s">
        <v>88</v>
      </c>
      <c r="F569" s="1">
        <v>78</v>
      </c>
      <c r="G569" s="3">
        <v>1979.229998</v>
      </c>
    </row>
    <row r="570" spans="1:7" x14ac:dyDescent="0.25">
      <c r="A570" s="1">
        <v>4</v>
      </c>
      <c r="B570" s="1" t="s">
        <v>19</v>
      </c>
      <c r="C570" s="1" t="s">
        <v>22</v>
      </c>
      <c r="D570" s="1">
        <v>1998</v>
      </c>
      <c r="E570" s="1" t="s">
        <v>87</v>
      </c>
      <c r="F570" s="1">
        <v>50</v>
      </c>
      <c r="G570" s="3">
        <v>792.75</v>
      </c>
    </row>
    <row r="571" spans="1:7" x14ac:dyDescent="0.25">
      <c r="A571" s="1">
        <v>1</v>
      </c>
      <c r="B571" s="1" t="s">
        <v>19</v>
      </c>
      <c r="C571" s="1" t="s">
        <v>22</v>
      </c>
      <c r="D571" s="1">
        <v>1998</v>
      </c>
      <c r="E571" s="1" t="s">
        <v>91</v>
      </c>
      <c r="F571" s="1">
        <v>36</v>
      </c>
      <c r="G571" s="3">
        <v>843</v>
      </c>
    </row>
    <row r="572" spans="1:7" x14ac:dyDescent="0.25">
      <c r="A572" s="1">
        <v>2</v>
      </c>
      <c r="B572" s="1" t="s">
        <v>19</v>
      </c>
      <c r="C572" s="1" t="s">
        <v>24</v>
      </c>
      <c r="D572" s="1">
        <v>1998</v>
      </c>
      <c r="E572" s="1" t="s">
        <v>89</v>
      </c>
      <c r="F572" s="1">
        <v>137</v>
      </c>
      <c r="G572" s="3">
        <v>5436</v>
      </c>
    </row>
    <row r="573" spans="1:7" x14ac:dyDescent="0.25">
      <c r="A573" s="1">
        <v>1</v>
      </c>
      <c r="B573" s="1" t="s">
        <v>19</v>
      </c>
      <c r="C573" s="1" t="s">
        <v>24</v>
      </c>
      <c r="D573" s="1">
        <v>1998</v>
      </c>
      <c r="E573" s="1" t="s">
        <v>89</v>
      </c>
      <c r="F573" s="1">
        <v>26</v>
      </c>
      <c r="G573" s="3">
        <v>717.5</v>
      </c>
    </row>
    <row r="574" spans="1:7" x14ac:dyDescent="0.25">
      <c r="A574" s="1">
        <v>1</v>
      </c>
      <c r="B574" s="1" t="s">
        <v>19</v>
      </c>
      <c r="C574" s="1" t="s">
        <v>24</v>
      </c>
      <c r="D574" s="1">
        <v>1998</v>
      </c>
      <c r="E574" s="1" t="s">
        <v>85</v>
      </c>
      <c r="F574" s="1">
        <v>51</v>
      </c>
      <c r="G574" s="3">
        <v>877.72500000000002</v>
      </c>
    </row>
    <row r="575" spans="1:7" x14ac:dyDescent="0.25">
      <c r="A575" s="1">
        <v>3</v>
      </c>
      <c r="B575" s="1" t="s">
        <v>10</v>
      </c>
      <c r="C575" s="1" t="s">
        <v>24</v>
      </c>
      <c r="D575" s="1">
        <v>1998</v>
      </c>
      <c r="E575" s="1" t="s">
        <v>89</v>
      </c>
      <c r="F575" s="1">
        <v>85</v>
      </c>
      <c r="G575" s="3">
        <v>1447.5</v>
      </c>
    </row>
    <row r="576" spans="1:7" x14ac:dyDescent="0.25">
      <c r="A576" s="1">
        <v>6</v>
      </c>
      <c r="B576" s="1" t="s">
        <v>7</v>
      </c>
      <c r="C576" s="1" t="s">
        <v>24</v>
      </c>
      <c r="D576" s="1">
        <v>1998</v>
      </c>
      <c r="E576" s="1" t="s">
        <v>85</v>
      </c>
      <c r="F576" s="1">
        <v>39</v>
      </c>
      <c r="G576" s="3">
        <v>1309.5</v>
      </c>
    </row>
    <row r="577" spans="1:7" x14ac:dyDescent="0.25">
      <c r="A577" s="1">
        <v>7</v>
      </c>
      <c r="B577" s="1" t="s">
        <v>7</v>
      </c>
      <c r="C577" s="1" t="s">
        <v>24</v>
      </c>
      <c r="D577" s="1">
        <v>1998</v>
      </c>
      <c r="E577" s="1" t="s">
        <v>85</v>
      </c>
      <c r="F577" s="1">
        <v>42</v>
      </c>
      <c r="G577" s="3">
        <v>525</v>
      </c>
    </row>
    <row r="578" spans="1:7" x14ac:dyDescent="0.25">
      <c r="A578" s="1">
        <v>6</v>
      </c>
      <c r="B578" s="1" t="s">
        <v>7</v>
      </c>
      <c r="C578" s="1" t="s">
        <v>24</v>
      </c>
      <c r="D578" s="1">
        <v>1998</v>
      </c>
      <c r="E578" s="1" t="s">
        <v>89</v>
      </c>
      <c r="F578" s="1">
        <v>41</v>
      </c>
      <c r="G578" s="3">
        <v>1025.325</v>
      </c>
    </row>
    <row r="579" spans="1:7" x14ac:dyDescent="0.25">
      <c r="A579" s="1">
        <v>9</v>
      </c>
      <c r="B579" s="1" t="s">
        <v>13</v>
      </c>
      <c r="C579" s="1" t="s">
        <v>25</v>
      </c>
      <c r="D579" s="1">
        <v>1998</v>
      </c>
      <c r="E579" s="1" t="s">
        <v>89</v>
      </c>
      <c r="F579" s="1">
        <v>40</v>
      </c>
      <c r="G579" s="3">
        <v>223.99999919999999</v>
      </c>
    </row>
    <row r="580" spans="1:7" x14ac:dyDescent="0.25">
      <c r="A580" s="1">
        <v>8</v>
      </c>
      <c r="B580" s="1" t="s">
        <v>13</v>
      </c>
      <c r="C580" s="1" t="s">
        <v>92</v>
      </c>
      <c r="D580" s="1">
        <v>1998</v>
      </c>
      <c r="E580" s="1" t="s">
        <v>85</v>
      </c>
      <c r="F580" s="1">
        <v>30</v>
      </c>
      <c r="G580" s="3">
        <v>305</v>
      </c>
    </row>
    <row r="581" spans="1:7" x14ac:dyDescent="0.25">
      <c r="A581" s="1">
        <v>4</v>
      </c>
      <c r="B581" s="1" t="s">
        <v>19</v>
      </c>
      <c r="C581" s="1" t="s">
        <v>92</v>
      </c>
      <c r="D581" s="1">
        <v>1998</v>
      </c>
      <c r="E581" s="1" t="s">
        <v>88</v>
      </c>
      <c r="F581" s="1">
        <v>10</v>
      </c>
      <c r="G581" s="3">
        <v>150</v>
      </c>
    </row>
    <row r="582" spans="1:7" x14ac:dyDescent="0.25">
      <c r="A582" s="1">
        <v>2</v>
      </c>
      <c r="B582" s="1" t="s">
        <v>19</v>
      </c>
      <c r="C582" s="1" t="s">
        <v>92</v>
      </c>
      <c r="D582" s="1">
        <v>1998</v>
      </c>
      <c r="E582" s="1" t="s">
        <v>91</v>
      </c>
      <c r="F582" s="1">
        <v>27</v>
      </c>
      <c r="G582" s="3">
        <v>477</v>
      </c>
    </row>
    <row r="583" spans="1:7" x14ac:dyDescent="0.25">
      <c r="A583" s="1">
        <v>7</v>
      </c>
      <c r="B583" s="1" t="s">
        <v>7</v>
      </c>
      <c r="C583" s="1" t="s">
        <v>92</v>
      </c>
      <c r="D583" s="1">
        <v>1998</v>
      </c>
      <c r="E583" s="1" t="s">
        <v>89</v>
      </c>
      <c r="F583" s="1">
        <v>28</v>
      </c>
      <c r="G583" s="3">
        <v>644.79999999999995</v>
      </c>
    </row>
    <row r="584" spans="1:7" x14ac:dyDescent="0.25">
      <c r="A584" s="1">
        <v>4</v>
      </c>
      <c r="B584" s="1" t="s">
        <v>19</v>
      </c>
      <c r="C584" s="1" t="s">
        <v>27</v>
      </c>
      <c r="D584" s="1">
        <v>1998</v>
      </c>
      <c r="E584" s="1" t="s">
        <v>89</v>
      </c>
      <c r="F584" s="1">
        <v>32</v>
      </c>
      <c r="G584" s="3">
        <v>1098.4599940000001</v>
      </c>
    </row>
    <row r="585" spans="1:7" x14ac:dyDescent="0.25">
      <c r="A585" s="1">
        <v>4</v>
      </c>
      <c r="B585" s="1" t="s">
        <v>19</v>
      </c>
      <c r="C585" s="1" t="s">
        <v>27</v>
      </c>
      <c r="D585" s="1">
        <v>1998</v>
      </c>
      <c r="E585" s="1" t="s">
        <v>85</v>
      </c>
      <c r="F585" s="1">
        <v>32</v>
      </c>
      <c r="G585" s="3">
        <v>1286.8</v>
      </c>
    </row>
    <row r="586" spans="1:7" x14ac:dyDescent="0.25">
      <c r="A586" s="1">
        <v>3</v>
      </c>
      <c r="B586" s="1" t="s">
        <v>10</v>
      </c>
      <c r="C586" s="1" t="s">
        <v>27</v>
      </c>
      <c r="D586" s="1">
        <v>1998</v>
      </c>
      <c r="E586" s="1" t="s">
        <v>85</v>
      </c>
      <c r="F586" s="1">
        <v>60</v>
      </c>
      <c r="G586" s="3">
        <v>1772.999998</v>
      </c>
    </row>
    <row r="587" spans="1:7" x14ac:dyDescent="0.25">
      <c r="A587" s="1">
        <v>1</v>
      </c>
      <c r="B587" s="1" t="s">
        <v>19</v>
      </c>
      <c r="C587" s="1" t="s">
        <v>28</v>
      </c>
      <c r="D587" s="1">
        <v>1998</v>
      </c>
      <c r="E587" s="1" t="s">
        <v>89</v>
      </c>
      <c r="F587" s="1">
        <v>9</v>
      </c>
      <c r="G587" s="3">
        <v>108</v>
      </c>
    </row>
    <row r="588" spans="1:7" x14ac:dyDescent="0.25">
      <c r="A588" s="1">
        <v>2</v>
      </c>
      <c r="B588" s="1" t="s">
        <v>19</v>
      </c>
      <c r="C588" s="1" t="s">
        <v>28</v>
      </c>
      <c r="D588" s="1">
        <v>1998</v>
      </c>
      <c r="E588" s="1" t="s">
        <v>85</v>
      </c>
      <c r="F588" s="1">
        <v>19</v>
      </c>
      <c r="G588" s="3">
        <v>405.75</v>
      </c>
    </row>
    <row r="589" spans="1:7" x14ac:dyDescent="0.25">
      <c r="A589" s="1">
        <v>7</v>
      </c>
      <c r="B589" s="1" t="s">
        <v>7</v>
      </c>
      <c r="C589" s="1" t="s">
        <v>93</v>
      </c>
      <c r="D589" s="1">
        <v>1998</v>
      </c>
      <c r="E589" s="1" t="s">
        <v>91</v>
      </c>
      <c r="F589" s="1">
        <v>33</v>
      </c>
      <c r="G589" s="3">
        <v>931.5</v>
      </c>
    </row>
    <row r="590" spans="1:7" x14ac:dyDescent="0.25">
      <c r="A590" s="1">
        <v>8</v>
      </c>
      <c r="B590" s="1" t="s">
        <v>13</v>
      </c>
      <c r="C590" s="1" t="s">
        <v>29</v>
      </c>
      <c r="D590" s="1">
        <v>1998</v>
      </c>
      <c r="E590" s="1" t="s">
        <v>85</v>
      </c>
      <c r="F590" s="1">
        <v>53</v>
      </c>
      <c r="G590" s="3">
        <v>1485.7999990000001</v>
      </c>
    </row>
    <row r="591" spans="1:7" x14ac:dyDescent="0.25">
      <c r="A591" s="1">
        <v>1</v>
      </c>
      <c r="B591" s="1" t="s">
        <v>19</v>
      </c>
      <c r="C591" s="1" t="s">
        <v>30</v>
      </c>
      <c r="D591" s="1">
        <v>1998</v>
      </c>
      <c r="E591" s="1" t="s">
        <v>87</v>
      </c>
      <c r="F591" s="1">
        <v>9</v>
      </c>
      <c r="G591" s="3">
        <v>86.85</v>
      </c>
    </row>
    <row r="592" spans="1:7" x14ac:dyDescent="0.25">
      <c r="A592" s="1">
        <v>1</v>
      </c>
      <c r="B592" s="1" t="s">
        <v>19</v>
      </c>
      <c r="C592" s="1" t="s">
        <v>30</v>
      </c>
      <c r="D592" s="1">
        <v>1998</v>
      </c>
      <c r="E592" s="1" t="s">
        <v>91</v>
      </c>
      <c r="F592" s="1">
        <v>32</v>
      </c>
      <c r="G592" s="3">
        <v>1030.76</v>
      </c>
    </row>
    <row r="593" spans="1:7" x14ac:dyDescent="0.25">
      <c r="A593" s="1">
        <v>8</v>
      </c>
      <c r="B593" s="1" t="s">
        <v>13</v>
      </c>
      <c r="C593" s="1" t="s">
        <v>30</v>
      </c>
      <c r="D593" s="1">
        <v>1998</v>
      </c>
      <c r="E593" s="1" t="s">
        <v>85</v>
      </c>
      <c r="F593" s="1">
        <v>37</v>
      </c>
      <c r="G593" s="3">
        <v>1692</v>
      </c>
    </row>
    <row r="594" spans="1:7" x14ac:dyDescent="0.25">
      <c r="A594" s="1">
        <v>7</v>
      </c>
      <c r="B594" s="1" t="s">
        <v>7</v>
      </c>
      <c r="C594" s="1" t="s">
        <v>31</v>
      </c>
      <c r="D594" s="1">
        <v>1998</v>
      </c>
      <c r="E594" s="1" t="s">
        <v>88</v>
      </c>
      <c r="F594" s="1">
        <v>39</v>
      </c>
      <c r="G594" s="3">
        <v>860.1</v>
      </c>
    </row>
    <row r="595" spans="1:7" x14ac:dyDescent="0.25">
      <c r="A595" s="1">
        <v>7</v>
      </c>
      <c r="B595" s="1" t="s">
        <v>7</v>
      </c>
      <c r="C595" s="1" t="s">
        <v>32</v>
      </c>
      <c r="D595" s="1">
        <v>1998</v>
      </c>
      <c r="E595" s="1" t="s">
        <v>85</v>
      </c>
      <c r="F595" s="1">
        <v>55</v>
      </c>
      <c r="G595" s="3">
        <v>817.875</v>
      </c>
    </row>
    <row r="596" spans="1:7" x14ac:dyDescent="0.25">
      <c r="A596" s="1">
        <v>8</v>
      </c>
      <c r="B596" s="1" t="s">
        <v>13</v>
      </c>
      <c r="C596" s="1" t="s">
        <v>32</v>
      </c>
      <c r="D596" s="1">
        <v>1998</v>
      </c>
      <c r="E596" s="1" t="s">
        <v>85</v>
      </c>
      <c r="F596" s="1">
        <v>125</v>
      </c>
      <c r="G596" s="3">
        <v>3740</v>
      </c>
    </row>
    <row r="597" spans="1:7" x14ac:dyDescent="0.25">
      <c r="A597" s="1">
        <v>8</v>
      </c>
      <c r="B597" s="1" t="s">
        <v>13</v>
      </c>
      <c r="C597" s="1" t="s">
        <v>32</v>
      </c>
      <c r="D597" s="1">
        <v>1998</v>
      </c>
      <c r="E597" s="1" t="s">
        <v>89</v>
      </c>
      <c r="F597" s="1">
        <v>86</v>
      </c>
      <c r="G597" s="3">
        <v>2772</v>
      </c>
    </row>
    <row r="598" spans="1:7" x14ac:dyDescent="0.25">
      <c r="A598" s="1">
        <v>4</v>
      </c>
      <c r="B598" s="1" t="s">
        <v>19</v>
      </c>
      <c r="C598" s="1" t="s">
        <v>32</v>
      </c>
      <c r="D598" s="1">
        <v>1998</v>
      </c>
      <c r="E598" s="1" t="s">
        <v>85</v>
      </c>
      <c r="F598" s="1">
        <v>113</v>
      </c>
      <c r="G598" s="3">
        <v>1966.81</v>
      </c>
    </row>
    <row r="599" spans="1:7" x14ac:dyDescent="0.25">
      <c r="A599" s="1">
        <v>7</v>
      </c>
      <c r="B599" s="1" t="s">
        <v>7</v>
      </c>
      <c r="C599" s="1" t="s">
        <v>33</v>
      </c>
      <c r="D599" s="1">
        <v>1998</v>
      </c>
      <c r="E599" s="1" t="s">
        <v>85</v>
      </c>
      <c r="F599" s="1">
        <v>181</v>
      </c>
      <c r="G599" s="3">
        <v>4680.8999970000004</v>
      </c>
    </row>
    <row r="600" spans="1:7" x14ac:dyDescent="0.25">
      <c r="A600" s="1">
        <v>7</v>
      </c>
      <c r="B600" s="1" t="s">
        <v>7</v>
      </c>
      <c r="C600" s="1" t="s">
        <v>33</v>
      </c>
      <c r="D600" s="1">
        <v>1998</v>
      </c>
      <c r="E600" s="1" t="s">
        <v>91</v>
      </c>
      <c r="F600" s="1">
        <v>172</v>
      </c>
      <c r="G600" s="3">
        <v>4705.5</v>
      </c>
    </row>
    <row r="601" spans="1:7" x14ac:dyDescent="0.25">
      <c r="A601" s="1">
        <v>4</v>
      </c>
      <c r="B601" s="1" t="s">
        <v>19</v>
      </c>
      <c r="C601" s="1" t="s">
        <v>33</v>
      </c>
      <c r="D601" s="1">
        <v>1998</v>
      </c>
      <c r="E601" s="1" t="s">
        <v>87</v>
      </c>
      <c r="F601" s="1">
        <v>200</v>
      </c>
      <c r="G601" s="3">
        <v>5218</v>
      </c>
    </row>
    <row r="602" spans="1:7" x14ac:dyDescent="0.25">
      <c r="A602" s="1">
        <v>2</v>
      </c>
      <c r="B602" s="1" t="s">
        <v>19</v>
      </c>
      <c r="C602" s="1" t="s">
        <v>33</v>
      </c>
      <c r="D602" s="1">
        <v>1998</v>
      </c>
      <c r="E602" s="1" t="s">
        <v>85</v>
      </c>
      <c r="F602" s="1">
        <v>256</v>
      </c>
      <c r="G602" s="3">
        <v>4288.8499739999997</v>
      </c>
    </row>
    <row r="603" spans="1:7" x14ac:dyDescent="0.25">
      <c r="A603" s="1">
        <v>3</v>
      </c>
      <c r="B603" s="1" t="s">
        <v>10</v>
      </c>
      <c r="C603" s="1" t="s">
        <v>33</v>
      </c>
      <c r="D603" s="1">
        <v>1998</v>
      </c>
      <c r="E603" s="1" t="s">
        <v>88</v>
      </c>
      <c r="F603" s="1">
        <v>346</v>
      </c>
      <c r="G603" s="3">
        <v>6379.4</v>
      </c>
    </row>
    <row r="604" spans="1:7" x14ac:dyDescent="0.25">
      <c r="A604" s="1">
        <v>3</v>
      </c>
      <c r="B604" s="1" t="s">
        <v>10</v>
      </c>
      <c r="C604" s="1" t="s">
        <v>33</v>
      </c>
      <c r="D604" s="1">
        <v>1998</v>
      </c>
      <c r="E604" s="1" t="s">
        <v>91</v>
      </c>
      <c r="F604" s="1">
        <v>165</v>
      </c>
      <c r="G604" s="3">
        <v>2966.4999790000002</v>
      </c>
    </row>
    <row r="605" spans="1:7" x14ac:dyDescent="0.25">
      <c r="A605" s="1">
        <v>9</v>
      </c>
      <c r="B605" s="1" t="s">
        <v>13</v>
      </c>
      <c r="C605" s="1" t="s">
        <v>33</v>
      </c>
      <c r="D605" s="1">
        <v>1998</v>
      </c>
      <c r="E605" s="1" t="s">
        <v>85</v>
      </c>
      <c r="F605" s="1">
        <v>165</v>
      </c>
      <c r="G605" s="3">
        <v>6750</v>
      </c>
    </row>
    <row r="606" spans="1:7" x14ac:dyDescent="0.25">
      <c r="A606" s="1">
        <v>1</v>
      </c>
      <c r="B606" s="1" t="s">
        <v>19</v>
      </c>
      <c r="C606" s="1" t="s">
        <v>33</v>
      </c>
      <c r="D606" s="1">
        <v>1998</v>
      </c>
      <c r="E606" s="1" t="s">
        <v>89</v>
      </c>
      <c r="F606" s="1">
        <v>64</v>
      </c>
      <c r="G606" s="3">
        <v>1408</v>
      </c>
    </row>
    <row r="607" spans="1:7" x14ac:dyDescent="0.25">
      <c r="A607" s="1">
        <v>8</v>
      </c>
      <c r="B607" s="1" t="s">
        <v>13</v>
      </c>
      <c r="C607" s="1" t="s">
        <v>33</v>
      </c>
      <c r="D607" s="1">
        <v>1998</v>
      </c>
      <c r="E607" s="1" t="s">
        <v>89</v>
      </c>
      <c r="F607" s="1">
        <v>207</v>
      </c>
      <c r="G607" s="3">
        <v>4813.5</v>
      </c>
    </row>
    <row r="608" spans="1:7" x14ac:dyDescent="0.25">
      <c r="A608" s="1">
        <v>7</v>
      </c>
      <c r="B608" s="1" t="s">
        <v>7</v>
      </c>
      <c r="C608" s="1" t="s">
        <v>35</v>
      </c>
      <c r="D608" s="1">
        <v>1998</v>
      </c>
      <c r="E608" s="1" t="s">
        <v>85</v>
      </c>
      <c r="F608" s="1">
        <v>85</v>
      </c>
      <c r="G608" s="3">
        <v>4895.4375</v>
      </c>
    </row>
    <row r="609" spans="1:7" x14ac:dyDescent="0.25">
      <c r="A609" s="1">
        <v>4</v>
      </c>
      <c r="B609" s="1" t="s">
        <v>19</v>
      </c>
      <c r="C609" s="1" t="s">
        <v>35</v>
      </c>
      <c r="D609" s="1">
        <v>1998</v>
      </c>
      <c r="E609" s="1" t="s">
        <v>89</v>
      </c>
      <c r="F609" s="1">
        <v>40</v>
      </c>
      <c r="G609" s="3">
        <v>247.9999991</v>
      </c>
    </row>
    <row r="610" spans="1:7" x14ac:dyDescent="0.25">
      <c r="A610" s="1">
        <v>7</v>
      </c>
      <c r="B610" s="1" t="s">
        <v>7</v>
      </c>
      <c r="C610" s="1" t="s">
        <v>35</v>
      </c>
      <c r="D610" s="1">
        <v>1998</v>
      </c>
      <c r="E610" s="1" t="s">
        <v>88</v>
      </c>
      <c r="F610" s="1">
        <v>110</v>
      </c>
      <c r="G610" s="3">
        <v>1499.999994</v>
      </c>
    </row>
    <row r="611" spans="1:7" x14ac:dyDescent="0.25">
      <c r="A611" s="1">
        <v>2</v>
      </c>
      <c r="B611" s="1" t="s">
        <v>19</v>
      </c>
      <c r="C611" s="1" t="s">
        <v>35</v>
      </c>
      <c r="D611" s="1">
        <v>1998</v>
      </c>
      <c r="E611" s="1" t="s">
        <v>85</v>
      </c>
      <c r="F611" s="1">
        <v>116</v>
      </c>
      <c r="G611" s="3">
        <v>2769</v>
      </c>
    </row>
    <row r="612" spans="1:7" x14ac:dyDescent="0.25">
      <c r="A612" s="1">
        <v>8</v>
      </c>
      <c r="B612" s="1" t="s">
        <v>13</v>
      </c>
      <c r="C612" s="1" t="s">
        <v>35</v>
      </c>
      <c r="D612" s="1">
        <v>1998</v>
      </c>
      <c r="E612" s="1" t="s">
        <v>85</v>
      </c>
      <c r="F612" s="1">
        <v>50</v>
      </c>
      <c r="G612" s="3">
        <v>809.99999869999999</v>
      </c>
    </row>
    <row r="613" spans="1:7" x14ac:dyDescent="0.25">
      <c r="A613" s="1">
        <v>1</v>
      </c>
      <c r="B613" s="1" t="s">
        <v>19</v>
      </c>
      <c r="C613" s="1" t="s">
        <v>35</v>
      </c>
      <c r="D613" s="1">
        <v>1998</v>
      </c>
      <c r="E613" s="1" t="s">
        <v>88</v>
      </c>
      <c r="F613" s="1">
        <v>36</v>
      </c>
      <c r="G613" s="3">
        <v>863.4299939</v>
      </c>
    </row>
    <row r="614" spans="1:7" x14ac:dyDescent="0.25">
      <c r="A614" s="1">
        <v>8</v>
      </c>
      <c r="B614" s="1" t="s">
        <v>13</v>
      </c>
      <c r="C614" s="1" t="s">
        <v>35</v>
      </c>
      <c r="D614" s="1">
        <v>1998</v>
      </c>
      <c r="E614" s="1" t="s">
        <v>89</v>
      </c>
      <c r="F614" s="1">
        <v>102</v>
      </c>
      <c r="G614" s="3">
        <v>2307.4</v>
      </c>
    </row>
    <row r="615" spans="1:7" x14ac:dyDescent="0.25">
      <c r="A615" s="1">
        <v>8</v>
      </c>
      <c r="B615" s="1" t="s">
        <v>13</v>
      </c>
      <c r="C615" s="1" t="s">
        <v>35</v>
      </c>
      <c r="D615" s="1">
        <v>1998</v>
      </c>
      <c r="E615" s="1" t="s">
        <v>91</v>
      </c>
      <c r="F615" s="1">
        <v>21</v>
      </c>
      <c r="G615" s="3">
        <v>250.8</v>
      </c>
    </row>
    <row r="616" spans="1:7" x14ac:dyDescent="0.25">
      <c r="A616" s="1">
        <v>2</v>
      </c>
      <c r="B616" s="1" t="s">
        <v>19</v>
      </c>
      <c r="C616" s="1" t="s">
        <v>95</v>
      </c>
      <c r="D616" s="1">
        <v>1998</v>
      </c>
      <c r="E616" s="1" t="s">
        <v>89</v>
      </c>
      <c r="F616" s="1">
        <v>14</v>
      </c>
      <c r="G616" s="3">
        <v>1733.06</v>
      </c>
    </row>
    <row r="617" spans="1:7" x14ac:dyDescent="0.25">
      <c r="A617" s="1">
        <v>3</v>
      </c>
      <c r="B617" s="1" t="s">
        <v>10</v>
      </c>
      <c r="C617" s="1" t="s">
        <v>95</v>
      </c>
      <c r="D617" s="1">
        <v>1998</v>
      </c>
      <c r="E617" s="1" t="s">
        <v>91</v>
      </c>
      <c r="F617" s="1">
        <v>23</v>
      </c>
      <c r="G617" s="3">
        <v>519</v>
      </c>
    </row>
    <row r="618" spans="1:7" x14ac:dyDescent="0.25">
      <c r="A618" s="1">
        <v>2</v>
      </c>
      <c r="B618" s="1" t="s">
        <v>19</v>
      </c>
      <c r="C618" s="1" t="s">
        <v>96</v>
      </c>
      <c r="D618" s="1">
        <v>1998</v>
      </c>
      <c r="E618" s="1" t="s">
        <v>85</v>
      </c>
      <c r="F618" s="1">
        <v>14</v>
      </c>
      <c r="G618" s="3">
        <v>266</v>
      </c>
    </row>
    <row r="619" spans="1:7" x14ac:dyDescent="0.25">
      <c r="A619" s="1">
        <v>4</v>
      </c>
      <c r="B619" s="1" t="s">
        <v>19</v>
      </c>
      <c r="C619" s="1" t="s">
        <v>96</v>
      </c>
      <c r="D619" s="1">
        <v>1998</v>
      </c>
      <c r="E619" s="1" t="s">
        <v>85</v>
      </c>
      <c r="F619" s="1">
        <v>18</v>
      </c>
      <c r="G619" s="3">
        <v>1030</v>
      </c>
    </row>
    <row r="620" spans="1:7" x14ac:dyDescent="0.25">
      <c r="A620" s="1">
        <v>1</v>
      </c>
      <c r="B620" s="1" t="s">
        <v>19</v>
      </c>
      <c r="C620" s="1" t="s">
        <v>36</v>
      </c>
      <c r="D620" s="1">
        <v>1998</v>
      </c>
      <c r="E620" s="1" t="s">
        <v>85</v>
      </c>
      <c r="F620" s="1">
        <v>146</v>
      </c>
      <c r="G620" s="3">
        <v>2825.299998</v>
      </c>
    </row>
    <row r="621" spans="1:7" x14ac:dyDescent="0.25">
      <c r="A621" s="1">
        <v>6</v>
      </c>
      <c r="B621" s="1" t="s">
        <v>7</v>
      </c>
      <c r="C621" s="1" t="s">
        <v>36</v>
      </c>
      <c r="D621" s="1">
        <v>1998</v>
      </c>
      <c r="E621" s="1" t="s">
        <v>89</v>
      </c>
      <c r="F621" s="1">
        <v>124</v>
      </c>
      <c r="G621" s="3">
        <v>1174.75</v>
      </c>
    </row>
    <row r="622" spans="1:7" x14ac:dyDescent="0.25">
      <c r="A622" s="1">
        <v>1</v>
      </c>
      <c r="B622" s="1" t="s">
        <v>19</v>
      </c>
      <c r="C622" s="1" t="s">
        <v>36</v>
      </c>
      <c r="D622" s="1">
        <v>1998</v>
      </c>
      <c r="E622" s="1" t="s">
        <v>91</v>
      </c>
      <c r="F622" s="1">
        <v>105</v>
      </c>
      <c r="G622" s="3">
        <v>1078.6875</v>
      </c>
    </row>
    <row r="623" spans="1:7" x14ac:dyDescent="0.25">
      <c r="A623" s="1">
        <v>9</v>
      </c>
      <c r="B623" s="1" t="s">
        <v>13</v>
      </c>
      <c r="C623" s="1" t="s">
        <v>37</v>
      </c>
      <c r="D623" s="1">
        <v>1998</v>
      </c>
      <c r="E623" s="1" t="s">
        <v>89</v>
      </c>
      <c r="F623" s="1">
        <v>2</v>
      </c>
      <c r="G623" s="3">
        <v>57.799999589999999</v>
      </c>
    </row>
    <row r="624" spans="1:7" x14ac:dyDescent="0.25">
      <c r="A624" s="1">
        <v>1</v>
      </c>
      <c r="B624" s="1" t="s">
        <v>19</v>
      </c>
      <c r="C624" s="1" t="s">
        <v>39</v>
      </c>
      <c r="D624" s="1">
        <v>1998</v>
      </c>
      <c r="E624" s="1" t="s">
        <v>89</v>
      </c>
      <c r="F624" s="1">
        <v>10</v>
      </c>
      <c r="G624" s="3">
        <v>137.5</v>
      </c>
    </row>
    <row r="625" spans="1:7" x14ac:dyDescent="0.25">
      <c r="A625" s="1">
        <v>8</v>
      </c>
      <c r="B625" s="1" t="s">
        <v>13</v>
      </c>
      <c r="C625" s="1" t="s">
        <v>39</v>
      </c>
      <c r="D625" s="1">
        <v>1998</v>
      </c>
      <c r="E625" s="1" t="s">
        <v>88</v>
      </c>
      <c r="F625" s="1">
        <v>5</v>
      </c>
      <c r="G625" s="3">
        <v>70</v>
      </c>
    </row>
    <row r="626" spans="1:7" x14ac:dyDescent="0.25">
      <c r="A626" s="1">
        <v>7</v>
      </c>
      <c r="B626" s="1" t="s">
        <v>7</v>
      </c>
      <c r="C626" s="1" t="s">
        <v>40</v>
      </c>
      <c r="D626" s="1">
        <v>1998</v>
      </c>
      <c r="E626" s="1" t="s">
        <v>85</v>
      </c>
      <c r="F626" s="1">
        <v>4</v>
      </c>
      <c r="G626" s="3">
        <v>60</v>
      </c>
    </row>
    <row r="627" spans="1:7" x14ac:dyDescent="0.25">
      <c r="A627" s="1">
        <v>3</v>
      </c>
      <c r="B627" s="1" t="s">
        <v>10</v>
      </c>
      <c r="C627" s="1" t="s">
        <v>40</v>
      </c>
      <c r="D627" s="1">
        <v>1998</v>
      </c>
      <c r="E627" s="1" t="s">
        <v>89</v>
      </c>
      <c r="F627" s="1">
        <v>53</v>
      </c>
      <c r="G627" s="3">
        <v>2362.25</v>
      </c>
    </row>
    <row r="628" spans="1:7" x14ac:dyDescent="0.25">
      <c r="A628" s="1">
        <v>3</v>
      </c>
      <c r="B628" s="1" t="s">
        <v>10</v>
      </c>
      <c r="C628" s="1" t="s">
        <v>40</v>
      </c>
      <c r="D628" s="1">
        <v>1998</v>
      </c>
      <c r="E628" s="1" t="s">
        <v>88</v>
      </c>
      <c r="F628" s="1">
        <v>37</v>
      </c>
      <c r="G628" s="3">
        <v>858</v>
      </c>
    </row>
    <row r="629" spans="1:7" x14ac:dyDescent="0.25">
      <c r="A629" s="1">
        <v>5</v>
      </c>
      <c r="B629" s="1" t="s">
        <v>19</v>
      </c>
      <c r="C629" s="1" t="s">
        <v>40</v>
      </c>
      <c r="D629" s="1">
        <v>1998</v>
      </c>
      <c r="E629" s="1" t="s">
        <v>88</v>
      </c>
      <c r="F629" s="1">
        <v>76</v>
      </c>
      <c r="G629" s="3">
        <v>2368.4599979999998</v>
      </c>
    </row>
    <row r="630" spans="1:7" x14ac:dyDescent="0.25">
      <c r="A630" s="1">
        <v>2</v>
      </c>
      <c r="B630" s="1" t="s">
        <v>19</v>
      </c>
      <c r="C630" s="1" t="s">
        <v>40</v>
      </c>
      <c r="D630" s="1">
        <v>1998</v>
      </c>
      <c r="E630" s="1" t="s">
        <v>85</v>
      </c>
      <c r="F630" s="1">
        <v>39</v>
      </c>
      <c r="G630" s="3">
        <v>616.5</v>
      </c>
    </row>
    <row r="631" spans="1:7" x14ac:dyDescent="0.25">
      <c r="A631" s="1">
        <v>1</v>
      </c>
      <c r="B631" s="1" t="s">
        <v>19</v>
      </c>
      <c r="C631" s="1" t="s">
        <v>40</v>
      </c>
      <c r="D631" s="1">
        <v>1998</v>
      </c>
      <c r="E631" s="1" t="s">
        <v>88</v>
      </c>
      <c r="F631" s="1">
        <v>38</v>
      </c>
      <c r="G631" s="3">
        <v>605</v>
      </c>
    </row>
    <row r="632" spans="1:7" x14ac:dyDescent="0.25">
      <c r="A632" s="1">
        <v>3</v>
      </c>
      <c r="B632" s="1" t="s">
        <v>10</v>
      </c>
      <c r="C632" s="1" t="s">
        <v>97</v>
      </c>
      <c r="D632" s="1">
        <v>1998</v>
      </c>
      <c r="E632" s="1" t="s">
        <v>85</v>
      </c>
      <c r="F632" s="1">
        <v>14</v>
      </c>
      <c r="G632" s="3">
        <v>273.59999900000003</v>
      </c>
    </row>
    <row r="633" spans="1:7" x14ac:dyDescent="0.25">
      <c r="A633" s="1">
        <v>6</v>
      </c>
      <c r="B633" s="1" t="s">
        <v>7</v>
      </c>
      <c r="C633" s="1" t="s">
        <v>97</v>
      </c>
      <c r="D633" s="1">
        <v>1998</v>
      </c>
      <c r="E633" s="1" t="s">
        <v>89</v>
      </c>
      <c r="F633" s="1">
        <v>20</v>
      </c>
      <c r="G633" s="3">
        <v>131.7499991</v>
      </c>
    </row>
    <row r="634" spans="1:7" x14ac:dyDescent="0.25">
      <c r="A634" s="1">
        <v>3</v>
      </c>
      <c r="B634" s="1" t="s">
        <v>10</v>
      </c>
      <c r="C634" s="1" t="s">
        <v>98</v>
      </c>
      <c r="D634" s="1">
        <v>1998</v>
      </c>
      <c r="E634" s="1" t="s">
        <v>89</v>
      </c>
      <c r="F634" s="1">
        <v>30</v>
      </c>
      <c r="G634" s="3">
        <v>455.99999830000002</v>
      </c>
    </row>
    <row r="635" spans="1:7" x14ac:dyDescent="0.25">
      <c r="A635" s="1">
        <v>3</v>
      </c>
      <c r="B635" s="1" t="s">
        <v>10</v>
      </c>
      <c r="C635" s="1" t="s">
        <v>98</v>
      </c>
      <c r="D635" s="1">
        <v>1998</v>
      </c>
      <c r="E635" s="1" t="s">
        <v>85</v>
      </c>
      <c r="F635" s="1">
        <v>10</v>
      </c>
      <c r="G635" s="3">
        <v>329.685</v>
      </c>
    </row>
    <row r="636" spans="1:7" x14ac:dyDescent="0.25">
      <c r="A636" s="1">
        <v>4</v>
      </c>
      <c r="B636" s="1" t="s">
        <v>19</v>
      </c>
      <c r="C636" s="1" t="s">
        <v>98</v>
      </c>
      <c r="D636" s="1">
        <v>1998</v>
      </c>
      <c r="E636" s="1" t="s">
        <v>85</v>
      </c>
      <c r="F636" s="1">
        <v>35</v>
      </c>
      <c r="G636" s="3">
        <v>710</v>
      </c>
    </row>
    <row r="637" spans="1:7" x14ac:dyDescent="0.25">
      <c r="A637" s="1">
        <v>4</v>
      </c>
      <c r="B637" s="1" t="s">
        <v>19</v>
      </c>
      <c r="C637" s="1" t="s">
        <v>98</v>
      </c>
      <c r="D637" s="1">
        <v>1998</v>
      </c>
      <c r="E637" s="1" t="s">
        <v>91</v>
      </c>
      <c r="F637" s="1">
        <v>50</v>
      </c>
      <c r="G637" s="3">
        <v>8446.4499930000002</v>
      </c>
    </row>
    <row r="638" spans="1:7" x14ac:dyDescent="0.25">
      <c r="A638" s="1">
        <v>7</v>
      </c>
      <c r="B638" s="1" t="s">
        <v>7</v>
      </c>
      <c r="C638" s="1" t="s">
        <v>41</v>
      </c>
      <c r="D638" s="1">
        <v>1998</v>
      </c>
      <c r="E638" s="1" t="s">
        <v>85</v>
      </c>
      <c r="F638" s="1">
        <v>70</v>
      </c>
      <c r="G638" s="3">
        <v>1727.5</v>
      </c>
    </row>
    <row r="639" spans="1:7" x14ac:dyDescent="0.25">
      <c r="A639" s="1">
        <v>1</v>
      </c>
      <c r="B639" s="1" t="s">
        <v>19</v>
      </c>
      <c r="C639" s="1" t="s">
        <v>41</v>
      </c>
      <c r="D639" s="1">
        <v>1998</v>
      </c>
      <c r="E639" s="1" t="s">
        <v>89</v>
      </c>
      <c r="F639" s="1">
        <v>20</v>
      </c>
      <c r="G639" s="3">
        <v>912</v>
      </c>
    </row>
    <row r="640" spans="1:7" x14ac:dyDescent="0.25">
      <c r="A640" s="1">
        <v>8</v>
      </c>
      <c r="B640" s="1" t="s">
        <v>13</v>
      </c>
      <c r="C640" s="1" t="s">
        <v>41</v>
      </c>
      <c r="D640" s="1">
        <v>1998</v>
      </c>
      <c r="E640" s="1" t="s">
        <v>89</v>
      </c>
      <c r="F640" s="1">
        <v>78</v>
      </c>
      <c r="G640" s="3">
        <v>1762.7</v>
      </c>
    </row>
    <row r="641" spans="1:7" x14ac:dyDescent="0.25">
      <c r="A641" s="1">
        <v>3</v>
      </c>
      <c r="B641" s="1" t="s">
        <v>10</v>
      </c>
      <c r="C641" s="1" t="s">
        <v>41</v>
      </c>
      <c r="D641" s="1">
        <v>1998</v>
      </c>
      <c r="E641" s="1" t="s">
        <v>89</v>
      </c>
      <c r="F641" s="1">
        <v>34</v>
      </c>
      <c r="G641" s="3">
        <v>265.35000000000002</v>
      </c>
    </row>
    <row r="642" spans="1:7" x14ac:dyDescent="0.25">
      <c r="A642" s="1">
        <v>4</v>
      </c>
      <c r="B642" s="1" t="s">
        <v>19</v>
      </c>
      <c r="C642" s="1" t="s">
        <v>41</v>
      </c>
      <c r="D642" s="1">
        <v>1998</v>
      </c>
      <c r="E642" s="1" t="s">
        <v>88</v>
      </c>
      <c r="F642" s="1">
        <v>92</v>
      </c>
      <c r="G642" s="3">
        <v>1375.649997</v>
      </c>
    </row>
    <row r="643" spans="1:7" x14ac:dyDescent="0.25">
      <c r="A643" s="1">
        <v>9</v>
      </c>
      <c r="B643" s="1" t="s">
        <v>13</v>
      </c>
      <c r="C643" s="1" t="s">
        <v>42</v>
      </c>
      <c r="D643" s="1">
        <v>1998</v>
      </c>
      <c r="E643" s="1" t="s">
        <v>85</v>
      </c>
      <c r="F643" s="1">
        <v>65</v>
      </c>
      <c r="G643" s="3">
        <v>1402</v>
      </c>
    </row>
    <row r="644" spans="1:7" x14ac:dyDescent="0.25">
      <c r="A644" s="1">
        <v>1</v>
      </c>
      <c r="B644" s="1" t="s">
        <v>19</v>
      </c>
      <c r="C644" s="1" t="s">
        <v>42</v>
      </c>
      <c r="D644" s="1">
        <v>1998</v>
      </c>
      <c r="E644" s="1" t="s">
        <v>89</v>
      </c>
      <c r="F644" s="1">
        <v>60</v>
      </c>
      <c r="G644" s="3">
        <v>15810</v>
      </c>
    </row>
    <row r="645" spans="1:7" x14ac:dyDescent="0.25">
      <c r="A645" s="1">
        <v>3</v>
      </c>
      <c r="B645" s="1" t="s">
        <v>10</v>
      </c>
      <c r="C645" s="1" t="s">
        <v>42</v>
      </c>
      <c r="D645" s="1">
        <v>1998</v>
      </c>
      <c r="E645" s="1" t="s">
        <v>89</v>
      </c>
      <c r="F645" s="1">
        <v>37</v>
      </c>
      <c r="G645" s="3">
        <v>475.14999669999997</v>
      </c>
    </row>
    <row r="646" spans="1:7" x14ac:dyDescent="0.25">
      <c r="A646" s="1">
        <v>3</v>
      </c>
      <c r="B646" s="1" t="s">
        <v>10</v>
      </c>
      <c r="C646" s="1" t="s">
        <v>42</v>
      </c>
      <c r="D646" s="1">
        <v>1998</v>
      </c>
      <c r="E646" s="1" t="s">
        <v>85</v>
      </c>
      <c r="F646" s="1">
        <v>40</v>
      </c>
      <c r="G646" s="3">
        <v>1331.9999949999999</v>
      </c>
    </row>
    <row r="647" spans="1:7" x14ac:dyDescent="0.25">
      <c r="A647" s="1">
        <v>1</v>
      </c>
      <c r="B647" s="1" t="s">
        <v>19</v>
      </c>
      <c r="C647" s="1" t="s">
        <v>42</v>
      </c>
      <c r="D647" s="1">
        <v>1998</v>
      </c>
      <c r="E647" s="1" t="s">
        <v>88</v>
      </c>
      <c r="F647" s="1">
        <v>145</v>
      </c>
      <c r="G647" s="3">
        <v>3127.5</v>
      </c>
    </row>
    <row r="648" spans="1:7" x14ac:dyDescent="0.25">
      <c r="A648" s="1">
        <v>5</v>
      </c>
      <c r="B648" s="1" t="s">
        <v>19</v>
      </c>
      <c r="C648" s="1" t="s">
        <v>42</v>
      </c>
      <c r="D648" s="1">
        <v>1998</v>
      </c>
      <c r="E648" s="1" t="s">
        <v>89</v>
      </c>
      <c r="F648" s="1">
        <v>50</v>
      </c>
      <c r="G648" s="3">
        <v>742.5</v>
      </c>
    </row>
    <row r="649" spans="1:7" x14ac:dyDescent="0.25">
      <c r="A649" s="1">
        <v>3</v>
      </c>
      <c r="B649" s="1" t="s">
        <v>10</v>
      </c>
      <c r="C649" s="1" t="s">
        <v>42</v>
      </c>
      <c r="D649" s="1">
        <v>1998</v>
      </c>
      <c r="E649" s="1" t="s">
        <v>88</v>
      </c>
      <c r="F649" s="1">
        <v>81</v>
      </c>
      <c r="G649" s="3">
        <v>932.05</v>
      </c>
    </row>
    <row r="650" spans="1:7" x14ac:dyDescent="0.25">
      <c r="A650" s="1">
        <v>3</v>
      </c>
      <c r="B650" s="1" t="s">
        <v>10</v>
      </c>
      <c r="C650" s="1" t="s">
        <v>44</v>
      </c>
      <c r="D650" s="1">
        <v>1998</v>
      </c>
      <c r="E650" s="1" t="s">
        <v>88</v>
      </c>
      <c r="F650" s="1">
        <v>116</v>
      </c>
      <c r="G650" s="3">
        <v>10835.24</v>
      </c>
    </row>
    <row r="651" spans="1:7" x14ac:dyDescent="0.25">
      <c r="A651" s="1">
        <v>2</v>
      </c>
      <c r="B651" s="1" t="s">
        <v>19</v>
      </c>
      <c r="C651" s="1" t="s">
        <v>44</v>
      </c>
      <c r="D651" s="1">
        <v>1998</v>
      </c>
      <c r="E651" s="1" t="s">
        <v>89</v>
      </c>
      <c r="F651" s="1">
        <v>79</v>
      </c>
      <c r="G651" s="3">
        <v>2023.379997</v>
      </c>
    </row>
    <row r="652" spans="1:7" x14ac:dyDescent="0.25">
      <c r="A652" s="1">
        <v>2</v>
      </c>
      <c r="B652" s="1" t="s">
        <v>19</v>
      </c>
      <c r="C652" s="1" t="s">
        <v>44</v>
      </c>
      <c r="D652" s="1">
        <v>1998</v>
      </c>
      <c r="E652" s="1" t="s">
        <v>88</v>
      </c>
      <c r="F652" s="1">
        <v>100</v>
      </c>
      <c r="G652" s="3">
        <v>6200.55</v>
      </c>
    </row>
    <row r="653" spans="1:7" x14ac:dyDescent="0.25">
      <c r="A653" s="1">
        <v>3</v>
      </c>
      <c r="B653" s="1" t="s">
        <v>10</v>
      </c>
      <c r="C653" s="1" t="s">
        <v>44</v>
      </c>
      <c r="D653" s="1">
        <v>1998</v>
      </c>
      <c r="E653" s="1" t="s">
        <v>85</v>
      </c>
      <c r="F653" s="1">
        <v>100</v>
      </c>
      <c r="G653" s="3">
        <v>1342.9499980000001</v>
      </c>
    </row>
    <row r="654" spans="1:7" x14ac:dyDescent="0.25">
      <c r="A654" s="1">
        <v>9</v>
      </c>
      <c r="B654" s="1" t="s">
        <v>13</v>
      </c>
      <c r="C654" s="1" t="s">
        <v>45</v>
      </c>
      <c r="D654" s="1">
        <v>1998</v>
      </c>
      <c r="E654" s="1" t="s">
        <v>91</v>
      </c>
      <c r="F654" s="1">
        <v>61</v>
      </c>
      <c r="G654" s="3">
        <v>1764</v>
      </c>
    </row>
    <row r="655" spans="1:7" x14ac:dyDescent="0.25">
      <c r="A655" s="1">
        <v>6</v>
      </c>
      <c r="B655" s="1" t="s">
        <v>7</v>
      </c>
      <c r="C655" s="1" t="s">
        <v>45</v>
      </c>
      <c r="D655" s="1">
        <v>1998</v>
      </c>
      <c r="E655" s="1" t="s">
        <v>89</v>
      </c>
      <c r="F655" s="1">
        <v>32</v>
      </c>
      <c r="G655" s="3">
        <v>920.6</v>
      </c>
    </row>
    <row r="656" spans="1:7" x14ac:dyDescent="0.25">
      <c r="A656" s="1">
        <v>3</v>
      </c>
      <c r="B656" s="1" t="s">
        <v>10</v>
      </c>
      <c r="C656" s="1" t="s">
        <v>46</v>
      </c>
      <c r="D656" s="1">
        <v>1998</v>
      </c>
      <c r="E656" s="1" t="s">
        <v>91</v>
      </c>
      <c r="F656" s="1">
        <v>155</v>
      </c>
      <c r="G656" s="3">
        <v>10952.84498</v>
      </c>
    </row>
    <row r="657" spans="1:7" x14ac:dyDescent="0.25">
      <c r="A657" s="1">
        <v>2</v>
      </c>
      <c r="B657" s="1" t="s">
        <v>19</v>
      </c>
      <c r="C657" s="1" t="s">
        <v>46</v>
      </c>
      <c r="D657" s="1">
        <v>1998</v>
      </c>
      <c r="E657" s="1" t="s">
        <v>85</v>
      </c>
      <c r="F657" s="1">
        <v>59</v>
      </c>
      <c r="G657" s="3">
        <v>2160</v>
      </c>
    </row>
    <row r="658" spans="1:7" x14ac:dyDescent="0.25">
      <c r="A658" s="1">
        <v>9</v>
      </c>
      <c r="B658" s="1" t="s">
        <v>13</v>
      </c>
      <c r="C658" s="1" t="s">
        <v>46</v>
      </c>
      <c r="D658" s="1">
        <v>1998</v>
      </c>
      <c r="E658" s="1" t="s">
        <v>91</v>
      </c>
      <c r="F658" s="1">
        <v>67</v>
      </c>
      <c r="G658" s="3">
        <v>967.81899659999999</v>
      </c>
    </row>
    <row r="659" spans="1:7" x14ac:dyDescent="0.25">
      <c r="A659" s="1">
        <v>9</v>
      </c>
      <c r="B659" s="1" t="s">
        <v>13</v>
      </c>
      <c r="C659" s="1" t="s">
        <v>46</v>
      </c>
      <c r="D659" s="1">
        <v>1998</v>
      </c>
      <c r="E659" s="1" t="s">
        <v>88</v>
      </c>
      <c r="F659" s="1">
        <v>119</v>
      </c>
      <c r="G659" s="3">
        <v>5502.11</v>
      </c>
    </row>
    <row r="660" spans="1:7" x14ac:dyDescent="0.25">
      <c r="A660" s="1">
        <v>8</v>
      </c>
      <c r="B660" s="1" t="s">
        <v>13</v>
      </c>
      <c r="C660" s="1" t="s">
        <v>47</v>
      </c>
      <c r="D660" s="1">
        <v>1998</v>
      </c>
      <c r="E660" s="1" t="s">
        <v>87</v>
      </c>
      <c r="F660" s="1">
        <v>24</v>
      </c>
      <c r="G660" s="3">
        <v>189.42</v>
      </c>
    </row>
    <row r="661" spans="1:7" x14ac:dyDescent="0.25">
      <c r="A661" s="1">
        <v>8</v>
      </c>
      <c r="B661" s="1" t="s">
        <v>13</v>
      </c>
      <c r="C661" s="1" t="s">
        <v>47</v>
      </c>
      <c r="D661" s="1">
        <v>1998</v>
      </c>
      <c r="E661" s="1" t="s">
        <v>85</v>
      </c>
      <c r="F661" s="1">
        <v>90</v>
      </c>
      <c r="G661" s="3">
        <v>1885</v>
      </c>
    </row>
    <row r="662" spans="1:7" x14ac:dyDescent="0.25">
      <c r="A662" s="1">
        <v>1</v>
      </c>
      <c r="B662" s="1" t="s">
        <v>19</v>
      </c>
      <c r="C662" s="1" t="s">
        <v>47</v>
      </c>
      <c r="D662" s="1">
        <v>1998</v>
      </c>
      <c r="E662" s="1" t="s">
        <v>87</v>
      </c>
      <c r="F662" s="1">
        <v>25</v>
      </c>
      <c r="G662" s="3">
        <v>484.49999960000002</v>
      </c>
    </row>
    <row r="663" spans="1:7" x14ac:dyDescent="0.25">
      <c r="A663" s="1">
        <v>5</v>
      </c>
      <c r="B663" s="1" t="s">
        <v>19</v>
      </c>
      <c r="C663" s="1" t="s">
        <v>47</v>
      </c>
      <c r="D663" s="1">
        <v>1998</v>
      </c>
      <c r="E663" s="1" t="s">
        <v>88</v>
      </c>
      <c r="F663" s="1">
        <v>8</v>
      </c>
      <c r="G663" s="3">
        <v>122.3999991</v>
      </c>
    </row>
    <row r="664" spans="1:7" x14ac:dyDescent="0.25">
      <c r="A664" s="1">
        <v>5</v>
      </c>
      <c r="B664" s="1" t="s">
        <v>19</v>
      </c>
      <c r="C664" s="1" t="s">
        <v>47</v>
      </c>
      <c r="D664" s="1">
        <v>1998</v>
      </c>
      <c r="E664" s="1" t="s">
        <v>91</v>
      </c>
      <c r="F664" s="1">
        <v>90</v>
      </c>
      <c r="G664" s="3">
        <v>2825.999996</v>
      </c>
    </row>
    <row r="665" spans="1:7" x14ac:dyDescent="0.25">
      <c r="A665" s="1">
        <v>3</v>
      </c>
      <c r="B665" s="1" t="s">
        <v>10</v>
      </c>
      <c r="C665" s="1" t="s">
        <v>99</v>
      </c>
      <c r="D665" s="1">
        <v>1998</v>
      </c>
      <c r="E665" s="1" t="s">
        <v>91</v>
      </c>
      <c r="F665" s="1">
        <v>79</v>
      </c>
      <c r="G665" s="3">
        <v>1938.375</v>
      </c>
    </row>
    <row r="666" spans="1:7" x14ac:dyDescent="0.25">
      <c r="A666" s="1">
        <v>8</v>
      </c>
      <c r="B666" s="1" t="s">
        <v>13</v>
      </c>
      <c r="C666" s="1" t="s">
        <v>99</v>
      </c>
      <c r="D666" s="1">
        <v>1998</v>
      </c>
      <c r="E666" s="1" t="s">
        <v>91</v>
      </c>
      <c r="F666" s="1">
        <v>63</v>
      </c>
      <c r="G666" s="3">
        <v>852</v>
      </c>
    </row>
    <row r="667" spans="1:7" x14ac:dyDescent="0.25">
      <c r="A667" s="1">
        <v>4</v>
      </c>
      <c r="B667" s="1" t="s">
        <v>19</v>
      </c>
      <c r="C667" s="1" t="s">
        <v>99</v>
      </c>
      <c r="D667" s="1">
        <v>1998</v>
      </c>
      <c r="E667" s="1" t="s">
        <v>91</v>
      </c>
      <c r="F667" s="1">
        <v>16</v>
      </c>
      <c r="G667" s="3">
        <v>211.19999920000001</v>
      </c>
    </row>
    <row r="668" spans="1:7" x14ac:dyDescent="0.25">
      <c r="A668" s="1">
        <v>1</v>
      </c>
      <c r="B668" s="1" t="s">
        <v>19</v>
      </c>
      <c r="C668" s="1" t="s">
        <v>99</v>
      </c>
      <c r="D668" s="1">
        <v>1998</v>
      </c>
      <c r="E668" s="1" t="s">
        <v>85</v>
      </c>
      <c r="F668" s="1">
        <v>132</v>
      </c>
      <c r="G668" s="3">
        <v>3090</v>
      </c>
    </row>
    <row r="669" spans="1:7" x14ac:dyDescent="0.25">
      <c r="A669" s="1">
        <v>2</v>
      </c>
      <c r="B669" s="1" t="s">
        <v>19</v>
      </c>
      <c r="C669" s="1" t="s">
        <v>99</v>
      </c>
      <c r="D669" s="1">
        <v>1998</v>
      </c>
      <c r="E669" s="1" t="s">
        <v>85</v>
      </c>
      <c r="F669" s="1">
        <v>28</v>
      </c>
      <c r="G669" s="3">
        <v>243.1799996</v>
      </c>
    </row>
    <row r="670" spans="1:7" x14ac:dyDescent="0.25">
      <c r="A670" s="1">
        <v>5</v>
      </c>
      <c r="B670" s="1" t="s">
        <v>19</v>
      </c>
      <c r="C670" s="1" t="s">
        <v>99</v>
      </c>
      <c r="D670" s="1">
        <v>1998</v>
      </c>
      <c r="E670" s="1" t="s">
        <v>89</v>
      </c>
      <c r="F670" s="1">
        <v>107</v>
      </c>
      <c r="G670" s="3">
        <v>1659.5349900000001</v>
      </c>
    </row>
    <row r="671" spans="1:7" x14ac:dyDescent="0.25">
      <c r="A671" s="1">
        <v>2</v>
      </c>
      <c r="B671" s="1" t="s">
        <v>19</v>
      </c>
      <c r="C671" s="1" t="s">
        <v>99</v>
      </c>
      <c r="D671" s="1">
        <v>1998</v>
      </c>
      <c r="E671" s="1" t="s">
        <v>89</v>
      </c>
      <c r="F671" s="1">
        <v>68</v>
      </c>
      <c r="G671" s="3">
        <v>1122.8</v>
      </c>
    </row>
    <row r="672" spans="1:7" x14ac:dyDescent="0.25">
      <c r="A672" s="1">
        <v>4</v>
      </c>
      <c r="B672" s="1" t="s">
        <v>19</v>
      </c>
      <c r="C672" s="1" t="s">
        <v>111</v>
      </c>
      <c r="D672" s="1">
        <v>1998</v>
      </c>
      <c r="E672" s="1" t="s">
        <v>89</v>
      </c>
      <c r="F672" s="1">
        <v>43</v>
      </c>
      <c r="G672" s="3">
        <v>1051.5</v>
      </c>
    </row>
    <row r="673" spans="1:7" x14ac:dyDescent="0.25">
      <c r="A673" s="1">
        <v>6</v>
      </c>
      <c r="B673" s="1" t="s">
        <v>7</v>
      </c>
      <c r="C673" s="1" t="s">
        <v>111</v>
      </c>
      <c r="D673" s="1">
        <v>1998</v>
      </c>
      <c r="E673" s="1" t="s">
        <v>89</v>
      </c>
      <c r="F673" s="1">
        <v>21</v>
      </c>
      <c r="G673" s="3">
        <v>291.55</v>
      </c>
    </row>
    <row r="674" spans="1:7" x14ac:dyDescent="0.25">
      <c r="A674" s="1">
        <v>2</v>
      </c>
      <c r="B674" s="1" t="s">
        <v>19</v>
      </c>
      <c r="C674" s="1" t="s">
        <v>111</v>
      </c>
      <c r="D674" s="1">
        <v>1998</v>
      </c>
      <c r="E674" s="1" t="s">
        <v>91</v>
      </c>
      <c r="F674" s="1">
        <v>19</v>
      </c>
      <c r="G674" s="3">
        <v>649</v>
      </c>
    </row>
    <row r="675" spans="1:7" x14ac:dyDescent="0.25">
      <c r="A675" s="1">
        <v>7</v>
      </c>
      <c r="B675" s="1" t="s">
        <v>7</v>
      </c>
      <c r="C675" s="1" t="s">
        <v>48</v>
      </c>
      <c r="D675" s="1">
        <v>1998</v>
      </c>
      <c r="E675" s="1" t="s">
        <v>89</v>
      </c>
      <c r="F675" s="1">
        <v>44</v>
      </c>
      <c r="G675" s="3">
        <v>748.79999720000001</v>
      </c>
    </row>
    <row r="676" spans="1:7" x14ac:dyDescent="0.25">
      <c r="A676" s="1">
        <v>2</v>
      </c>
      <c r="B676" s="1" t="s">
        <v>19</v>
      </c>
      <c r="C676" s="1" t="s">
        <v>48</v>
      </c>
      <c r="D676" s="1">
        <v>1998</v>
      </c>
      <c r="E676" s="1" t="s">
        <v>91</v>
      </c>
      <c r="F676" s="1">
        <v>32</v>
      </c>
      <c r="G676" s="3">
        <v>475.10999859999998</v>
      </c>
    </row>
    <row r="677" spans="1:7" x14ac:dyDescent="0.25">
      <c r="A677" s="1">
        <v>7</v>
      </c>
      <c r="B677" s="1" t="s">
        <v>7</v>
      </c>
      <c r="C677" s="1" t="s">
        <v>48</v>
      </c>
      <c r="D677" s="1">
        <v>1998</v>
      </c>
      <c r="E677" s="1" t="s">
        <v>85</v>
      </c>
      <c r="F677" s="1">
        <v>10</v>
      </c>
      <c r="G677" s="3">
        <v>35.999999870000003</v>
      </c>
    </row>
    <row r="678" spans="1:7" x14ac:dyDescent="0.25">
      <c r="A678" s="1">
        <v>2</v>
      </c>
      <c r="B678" s="1" t="s">
        <v>19</v>
      </c>
      <c r="C678" s="1" t="s">
        <v>100</v>
      </c>
      <c r="D678" s="1">
        <v>1998</v>
      </c>
      <c r="E678" s="1" t="s">
        <v>91</v>
      </c>
      <c r="F678" s="1">
        <v>17</v>
      </c>
      <c r="G678" s="3">
        <v>187</v>
      </c>
    </row>
    <row r="679" spans="1:7" x14ac:dyDescent="0.25">
      <c r="A679" s="1">
        <v>2</v>
      </c>
      <c r="B679" s="1" t="s">
        <v>19</v>
      </c>
      <c r="C679" s="1" t="s">
        <v>49</v>
      </c>
      <c r="D679" s="1">
        <v>1998</v>
      </c>
      <c r="E679" s="1" t="s">
        <v>87</v>
      </c>
      <c r="F679" s="1">
        <v>110</v>
      </c>
      <c r="G679" s="3">
        <v>1629.9749899999999</v>
      </c>
    </row>
    <row r="680" spans="1:7" x14ac:dyDescent="0.25">
      <c r="A680" s="1">
        <v>7</v>
      </c>
      <c r="B680" s="1" t="s">
        <v>7</v>
      </c>
      <c r="C680" s="1" t="s">
        <v>49</v>
      </c>
      <c r="D680" s="1">
        <v>1998</v>
      </c>
      <c r="E680" s="1" t="s">
        <v>88</v>
      </c>
      <c r="F680" s="1">
        <v>15</v>
      </c>
      <c r="G680" s="3">
        <v>368.93249969999999</v>
      </c>
    </row>
    <row r="681" spans="1:7" x14ac:dyDescent="0.25">
      <c r="A681" s="1">
        <v>8</v>
      </c>
      <c r="B681" s="1" t="s">
        <v>13</v>
      </c>
      <c r="C681" s="1" t="s">
        <v>49</v>
      </c>
      <c r="D681" s="1">
        <v>1998</v>
      </c>
      <c r="E681" s="1" t="s">
        <v>91</v>
      </c>
      <c r="F681" s="1">
        <v>33</v>
      </c>
      <c r="G681" s="3">
        <v>581</v>
      </c>
    </row>
    <row r="682" spans="1:7" x14ac:dyDescent="0.25">
      <c r="A682" s="1">
        <v>3</v>
      </c>
      <c r="B682" s="1" t="s">
        <v>10</v>
      </c>
      <c r="C682" s="1" t="s">
        <v>49</v>
      </c>
      <c r="D682" s="1">
        <v>1998</v>
      </c>
      <c r="E682" s="1" t="s">
        <v>89</v>
      </c>
      <c r="F682" s="1">
        <v>20</v>
      </c>
      <c r="G682" s="3">
        <v>500</v>
      </c>
    </row>
    <row r="683" spans="1:7" x14ac:dyDescent="0.25">
      <c r="A683" s="1">
        <v>4</v>
      </c>
      <c r="B683" s="1" t="s">
        <v>19</v>
      </c>
      <c r="C683" s="1" t="s">
        <v>102</v>
      </c>
      <c r="D683" s="1">
        <v>1998</v>
      </c>
      <c r="E683" s="1" t="s">
        <v>88</v>
      </c>
      <c r="F683" s="1">
        <v>73</v>
      </c>
      <c r="G683" s="3">
        <v>1378.0699990000001</v>
      </c>
    </row>
    <row r="684" spans="1:7" x14ac:dyDescent="0.25">
      <c r="A684" s="1">
        <v>6</v>
      </c>
      <c r="B684" s="1" t="s">
        <v>7</v>
      </c>
      <c r="C684" s="1" t="s">
        <v>50</v>
      </c>
      <c r="D684" s="1">
        <v>1998</v>
      </c>
      <c r="E684" s="1" t="s">
        <v>88</v>
      </c>
      <c r="F684" s="1">
        <v>3</v>
      </c>
      <c r="G684" s="3">
        <v>98.4</v>
      </c>
    </row>
    <row r="685" spans="1:7" x14ac:dyDescent="0.25">
      <c r="A685" s="1">
        <v>4</v>
      </c>
      <c r="B685" s="1" t="s">
        <v>19</v>
      </c>
      <c r="C685" s="1" t="s">
        <v>50</v>
      </c>
      <c r="D685" s="1">
        <v>1998</v>
      </c>
      <c r="E685" s="1" t="s">
        <v>85</v>
      </c>
      <c r="F685" s="1">
        <v>35</v>
      </c>
      <c r="G685" s="3">
        <v>1575</v>
      </c>
    </row>
    <row r="686" spans="1:7" x14ac:dyDescent="0.25">
      <c r="A686" s="1">
        <v>8</v>
      </c>
      <c r="B686" s="1" t="s">
        <v>13</v>
      </c>
      <c r="C686" s="1" t="s">
        <v>50</v>
      </c>
      <c r="D686" s="1">
        <v>1998</v>
      </c>
      <c r="E686" s="1" t="s">
        <v>88</v>
      </c>
      <c r="F686" s="1">
        <v>8</v>
      </c>
      <c r="G686" s="3">
        <v>36</v>
      </c>
    </row>
    <row r="687" spans="1:7" x14ac:dyDescent="0.25">
      <c r="A687" s="1">
        <v>7</v>
      </c>
      <c r="B687" s="1" t="s">
        <v>7</v>
      </c>
      <c r="C687" s="1" t="s">
        <v>51</v>
      </c>
      <c r="D687" s="1">
        <v>1998</v>
      </c>
      <c r="E687" s="1" t="s">
        <v>91</v>
      </c>
      <c r="F687" s="1">
        <v>40</v>
      </c>
      <c r="G687" s="3">
        <v>833</v>
      </c>
    </row>
    <row r="688" spans="1:7" x14ac:dyDescent="0.25">
      <c r="A688" s="1">
        <v>2</v>
      </c>
      <c r="B688" s="1" t="s">
        <v>19</v>
      </c>
      <c r="C688" s="1" t="s">
        <v>51</v>
      </c>
      <c r="D688" s="1">
        <v>1998</v>
      </c>
      <c r="E688" s="1" t="s">
        <v>89</v>
      </c>
      <c r="F688" s="1">
        <v>50</v>
      </c>
      <c r="G688" s="3">
        <v>637.49999549999995</v>
      </c>
    </row>
    <row r="689" spans="1:7" x14ac:dyDescent="0.25">
      <c r="A689" s="1">
        <v>1</v>
      </c>
      <c r="B689" s="1" t="s">
        <v>19</v>
      </c>
      <c r="C689" s="1" t="s">
        <v>51</v>
      </c>
      <c r="D689" s="1">
        <v>1998</v>
      </c>
      <c r="E689" s="1" t="s">
        <v>89</v>
      </c>
      <c r="F689" s="1">
        <v>5</v>
      </c>
      <c r="G689" s="3">
        <v>110</v>
      </c>
    </row>
    <row r="690" spans="1:7" x14ac:dyDescent="0.25">
      <c r="A690" s="1">
        <v>4</v>
      </c>
      <c r="B690" s="1" t="s">
        <v>19</v>
      </c>
      <c r="C690" s="1" t="s">
        <v>103</v>
      </c>
      <c r="D690" s="1">
        <v>1998</v>
      </c>
      <c r="E690" s="1" t="s">
        <v>88</v>
      </c>
      <c r="F690" s="1">
        <v>40</v>
      </c>
      <c r="G690" s="3">
        <v>2089.9999979999998</v>
      </c>
    </row>
    <row r="691" spans="1:7" x14ac:dyDescent="0.25">
      <c r="A691" s="1">
        <v>3</v>
      </c>
      <c r="B691" s="1" t="s">
        <v>10</v>
      </c>
      <c r="C691" s="1" t="s">
        <v>103</v>
      </c>
      <c r="D691" s="1">
        <v>1998</v>
      </c>
      <c r="E691" s="1" t="s">
        <v>85</v>
      </c>
      <c r="F691" s="1">
        <v>12</v>
      </c>
      <c r="G691" s="3">
        <v>295.38</v>
      </c>
    </row>
    <row r="692" spans="1:7" x14ac:dyDescent="0.25">
      <c r="A692" s="1">
        <v>9</v>
      </c>
      <c r="B692" s="1" t="s">
        <v>13</v>
      </c>
      <c r="C692" s="1" t="s">
        <v>103</v>
      </c>
      <c r="D692" s="1">
        <v>1998</v>
      </c>
      <c r="E692" s="1" t="s">
        <v>89</v>
      </c>
      <c r="F692" s="1">
        <v>76</v>
      </c>
      <c r="G692" s="3">
        <v>1303.194992</v>
      </c>
    </row>
    <row r="693" spans="1:7" x14ac:dyDescent="0.25">
      <c r="A693" s="1">
        <v>7</v>
      </c>
      <c r="B693" s="1" t="s">
        <v>7</v>
      </c>
      <c r="C693" s="1" t="s">
        <v>103</v>
      </c>
      <c r="D693" s="1">
        <v>1998</v>
      </c>
      <c r="E693" s="1" t="s">
        <v>88</v>
      </c>
      <c r="F693" s="1">
        <v>31</v>
      </c>
      <c r="G693" s="3">
        <v>750.5</v>
      </c>
    </row>
    <row r="694" spans="1:7" x14ac:dyDescent="0.25">
      <c r="A694" s="1">
        <v>4</v>
      </c>
      <c r="B694" s="1" t="s">
        <v>19</v>
      </c>
      <c r="C694" s="1" t="s">
        <v>52</v>
      </c>
      <c r="D694" s="1">
        <v>1998</v>
      </c>
      <c r="E694" s="1" t="s">
        <v>89</v>
      </c>
      <c r="F694" s="1">
        <v>30</v>
      </c>
      <c r="G694" s="3">
        <v>245</v>
      </c>
    </row>
    <row r="695" spans="1:7" x14ac:dyDescent="0.25">
      <c r="A695" s="1">
        <v>3</v>
      </c>
      <c r="B695" s="1" t="s">
        <v>10</v>
      </c>
      <c r="C695" s="1" t="s">
        <v>104</v>
      </c>
      <c r="D695" s="1">
        <v>1998</v>
      </c>
      <c r="E695" s="1" t="s">
        <v>85</v>
      </c>
      <c r="F695" s="1">
        <v>3</v>
      </c>
      <c r="G695" s="3">
        <v>45</v>
      </c>
    </row>
    <row r="696" spans="1:7" x14ac:dyDescent="0.25">
      <c r="A696" s="1">
        <v>4</v>
      </c>
      <c r="B696" s="1" t="s">
        <v>19</v>
      </c>
      <c r="C696" s="1" t="s">
        <v>105</v>
      </c>
      <c r="D696" s="1">
        <v>1998</v>
      </c>
      <c r="E696" s="1" t="s">
        <v>88</v>
      </c>
      <c r="F696" s="1">
        <v>5</v>
      </c>
      <c r="G696" s="3">
        <v>30</v>
      </c>
    </row>
    <row r="697" spans="1:7" x14ac:dyDescent="0.25">
      <c r="A697" s="1">
        <v>7</v>
      </c>
      <c r="B697" s="1" t="s">
        <v>7</v>
      </c>
      <c r="C697" s="1" t="s">
        <v>105</v>
      </c>
      <c r="D697" s="1">
        <v>1998</v>
      </c>
      <c r="E697" s="1" t="s">
        <v>89</v>
      </c>
      <c r="F697" s="1">
        <v>31</v>
      </c>
      <c r="G697" s="3">
        <v>781</v>
      </c>
    </row>
    <row r="698" spans="1:7" x14ac:dyDescent="0.25">
      <c r="A698" s="1">
        <v>8</v>
      </c>
      <c r="B698" s="1" t="s">
        <v>13</v>
      </c>
      <c r="C698" s="1" t="s">
        <v>105</v>
      </c>
      <c r="D698" s="1">
        <v>1998</v>
      </c>
      <c r="E698" s="1" t="s">
        <v>89</v>
      </c>
      <c r="F698" s="1">
        <v>70</v>
      </c>
      <c r="G698" s="3">
        <v>2220</v>
      </c>
    </row>
    <row r="699" spans="1:7" x14ac:dyDescent="0.25">
      <c r="A699" s="1">
        <v>8</v>
      </c>
      <c r="B699" s="1" t="s">
        <v>13</v>
      </c>
      <c r="C699" s="1" t="s">
        <v>54</v>
      </c>
      <c r="D699" s="1">
        <v>1998</v>
      </c>
      <c r="E699" s="1" t="s">
        <v>85</v>
      </c>
      <c r="F699" s="1">
        <v>33</v>
      </c>
      <c r="G699" s="3">
        <v>539.39999980000005</v>
      </c>
    </row>
    <row r="700" spans="1:7" x14ac:dyDescent="0.25">
      <c r="A700" s="1">
        <v>6</v>
      </c>
      <c r="B700" s="1" t="s">
        <v>7</v>
      </c>
      <c r="C700" s="1" t="s">
        <v>54</v>
      </c>
      <c r="D700" s="1">
        <v>1998</v>
      </c>
      <c r="E700" s="1" t="s">
        <v>89</v>
      </c>
      <c r="F700" s="1">
        <v>16</v>
      </c>
      <c r="G700" s="3">
        <v>848</v>
      </c>
    </row>
    <row r="701" spans="1:7" x14ac:dyDescent="0.25">
      <c r="A701" s="1">
        <v>3</v>
      </c>
      <c r="B701" s="1" t="s">
        <v>10</v>
      </c>
      <c r="C701" s="1" t="s">
        <v>54</v>
      </c>
      <c r="D701" s="1">
        <v>1998</v>
      </c>
      <c r="E701" s="1" t="s">
        <v>91</v>
      </c>
      <c r="F701" s="1">
        <v>103</v>
      </c>
      <c r="G701" s="3">
        <v>2227.8874980000001</v>
      </c>
    </row>
    <row r="702" spans="1:7" x14ac:dyDescent="0.25">
      <c r="A702" s="1">
        <v>2</v>
      </c>
      <c r="B702" s="1" t="s">
        <v>19</v>
      </c>
      <c r="C702" s="1" t="s">
        <v>54</v>
      </c>
      <c r="D702" s="1">
        <v>1998</v>
      </c>
      <c r="E702" s="1" t="s">
        <v>91</v>
      </c>
      <c r="F702" s="1">
        <v>70</v>
      </c>
      <c r="G702" s="3">
        <v>1410.99999</v>
      </c>
    </row>
    <row r="703" spans="1:7" x14ac:dyDescent="0.25">
      <c r="A703" s="1">
        <v>6</v>
      </c>
      <c r="B703" s="1" t="s">
        <v>7</v>
      </c>
      <c r="C703" s="1" t="s">
        <v>55</v>
      </c>
      <c r="D703" s="1">
        <v>1998</v>
      </c>
      <c r="E703" s="1" t="s">
        <v>91</v>
      </c>
      <c r="F703" s="1">
        <v>38</v>
      </c>
      <c r="G703" s="3">
        <v>906.92999850000001</v>
      </c>
    </row>
    <row r="704" spans="1:7" x14ac:dyDescent="0.25">
      <c r="A704" s="1">
        <v>6</v>
      </c>
      <c r="B704" s="1" t="s">
        <v>7</v>
      </c>
      <c r="C704" s="1" t="s">
        <v>55</v>
      </c>
      <c r="D704" s="1">
        <v>1998</v>
      </c>
      <c r="E704" s="1" t="s">
        <v>85</v>
      </c>
      <c r="F704" s="1">
        <v>56</v>
      </c>
      <c r="G704" s="3">
        <v>1197.9499989999999</v>
      </c>
    </row>
    <row r="705" spans="1:7" x14ac:dyDescent="0.25">
      <c r="A705" s="1">
        <v>2</v>
      </c>
      <c r="B705" s="1" t="s">
        <v>19</v>
      </c>
      <c r="C705" s="1" t="s">
        <v>55</v>
      </c>
      <c r="D705" s="1">
        <v>1998</v>
      </c>
      <c r="E705" s="1" t="s">
        <v>85</v>
      </c>
      <c r="F705" s="1">
        <v>24</v>
      </c>
      <c r="G705" s="3">
        <v>632.39999560000001</v>
      </c>
    </row>
    <row r="706" spans="1:7" x14ac:dyDescent="0.25">
      <c r="A706" s="1">
        <v>2</v>
      </c>
      <c r="B706" s="1" t="s">
        <v>19</v>
      </c>
      <c r="C706" s="1" t="s">
        <v>56</v>
      </c>
      <c r="D706" s="1">
        <v>1998</v>
      </c>
      <c r="E706" s="1" t="s">
        <v>87</v>
      </c>
      <c r="F706" s="1">
        <v>30</v>
      </c>
      <c r="G706" s="3">
        <v>300</v>
      </c>
    </row>
    <row r="707" spans="1:7" x14ac:dyDescent="0.25">
      <c r="A707" s="1">
        <v>1</v>
      </c>
      <c r="B707" s="1" t="s">
        <v>19</v>
      </c>
      <c r="C707" s="1" t="s">
        <v>56</v>
      </c>
      <c r="D707" s="1">
        <v>1998</v>
      </c>
      <c r="E707" s="1" t="s">
        <v>85</v>
      </c>
      <c r="F707" s="1">
        <v>24</v>
      </c>
      <c r="G707" s="3">
        <v>1196</v>
      </c>
    </row>
    <row r="708" spans="1:7" x14ac:dyDescent="0.25">
      <c r="A708" s="1">
        <v>8</v>
      </c>
      <c r="B708" s="1" t="s">
        <v>13</v>
      </c>
      <c r="C708" s="1" t="s">
        <v>57</v>
      </c>
      <c r="D708" s="1">
        <v>1998</v>
      </c>
      <c r="E708" s="1" t="s">
        <v>91</v>
      </c>
      <c r="F708" s="1">
        <v>35</v>
      </c>
      <c r="G708" s="3">
        <v>735</v>
      </c>
    </row>
    <row r="709" spans="1:7" x14ac:dyDescent="0.25">
      <c r="A709" s="1">
        <v>2</v>
      </c>
      <c r="B709" s="1" t="s">
        <v>19</v>
      </c>
      <c r="C709" s="1" t="s">
        <v>57</v>
      </c>
      <c r="D709" s="1">
        <v>1998</v>
      </c>
      <c r="E709" s="1" t="s">
        <v>85</v>
      </c>
      <c r="F709" s="1">
        <v>80</v>
      </c>
      <c r="G709" s="3">
        <v>3054.9999910000001</v>
      </c>
    </row>
    <row r="710" spans="1:7" x14ac:dyDescent="0.25">
      <c r="A710" s="1">
        <v>8</v>
      </c>
      <c r="B710" s="1" t="s">
        <v>13</v>
      </c>
      <c r="C710" s="1" t="s">
        <v>58</v>
      </c>
      <c r="D710" s="1">
        <v>1998</v>
      </c>
      <c r="E710" s="1" t="s">
        <v>85</v>
      </c>
      <c r="F710" s="1">
        <v>54</v>
      </c>
      <c r="G710" s="3">
        <v>2633.9</v>
      </c>
    </row>
    <row r="711" spans="1:7" x14ac:dyDescent="0.25">
      <c r="A711" s="1">
        <v>8</v>
      </c>
      <c r="B711" s="1" t="s">
        <v>13</v>
      </c>
      <c r="C711" s="1" t="s">
        <v>59</v>
      </c>
      <c r="D711" s="1">
        <v>1998</v>
      </c>
      <c r="E711" s="1" t="s">
        <v>89</v>
      </c>
      <c r="F711" s="1">
        <v>195</v>
      </c>
      <c r="G711" s="3">
        <v>3584</v>
      </c>
    </row>
    <row r="712" spans="1:7" x14ac:dyDescent="0.25">
      <c r="A712" s="1">
        <v>3</v>
      </c>
      <c r="B712" s="1" t="s">
        <v>10</v>
      </c>
      <c r="C712" s="1" t="s">
        <v>59</v>
      </c>
      <c r="D712" s="1">
        <v>1998</v>
      </c>
      <c r="E712" s="1" t="s">
        <v>85</v>
      </c>
      <c r="F712" s="1">
        <v>168</v>
      </c>
      <c r="G712" s="3">
        <v>6306.24</v>
      </c>
    </row>
    <row r="713" spans="1:7" x14ac:dyDescent="0.25">
      <c r="A713" s="1">
        <v>4</v>
      </c>
      <c r="B713" s="1" t="s">
        <v>19</v>
      </c>
      <c r="C713" s="1" t="s">
        <v>59</v>
      </c>
      <c r="D713" s="1">
        <v>1998</v>
      </c>
      <c r="E713" s="1" t="s">
        <v>85</v>
      </c>
      <c r="F713" s="1">
        <v>40</v>
      </c>
      <c r="G713" s="3">
        <v>560</v>
      </c>
    </row>
    <row r="714" spans="1:7" x14ac:dyDescent="0.25">
      <c r="A714" s="1">
        <v>1</v>
      </c>
      <c r="B714" s="1" t="s">
        <v>19</v>
      </c>
      <c r="C714" s="1" t="s">
        <v>59</v>
      </c>
      <c r="D714" s="1">
        <v>1998</v>
      </c>
      <c r="E714" s="1" t="s">
        <v>85</v>
      </c>
      <c r="F714" s="1">
        <v>160</v>
      </c>
      <c r="G714" s="3">
        <v>2295.9999910000001</v>
      </c>
    </row>
    <row r="715" spans="1:7" x14ac:dyDescent="0.25">
      <c r="A715" s="1">
        <v>3</v>
      </c>
      <c r="B715" s="1" t="s">
        <v>10</v>
      </c>
      <c r="C715" s="1" t="s">
        <v>59</v>
      </c>
      <c r="D715" s="1">
        <v>1998</v>
      </c>
      <c r="E715" s="1" t="s">
        <v>89</v>
      </c>
      <c r="F715" s="1">
        <v>128</v>
      </c>
      <c r="G715" s="3">
        <v>2731.875</v>
      </c>
    </row>
    <row r="716" spans="1:7" x14ac:dyDescent="0.25">
      <c r="A716" s="1">
        <v>4</v>
      </c>
      <c r="B716" s="1" t="s">
        <v>19</v>
      </c>
      <c r="C716" s="1" t="s">
        <v>59</v>
      </c>
      <c r="D716" s="1">
        <v>1998</v>
      </c>
      <c r="E716" s="1" t="s">
        <v>88</v>
      </c>
      <c r="F716" s="1">
        <v>20</v>
      </c>
      <c r="G716" s="3">
        <v>1538.9999989999999</v>
      </c>
    </row>
    <row r="717" spans="1:7" x14ac:dyDescent="0.25">
      <c r="A717" s="1">
        <v>2</v>
      </c>
      <c r="B717" s="1" t="s">
        <v>19</v>
      </c>
      <c r="C717" s="1" t="s">
        <v>59</v>
      </c>
      <c r="D717" s="1">
        <v>1998</v>
      </c>
      <c r="E717" s="1" t="s">
        <v>88</v>
      </c>
      <c r="F717" s="1">
        <v>140</v>
      </c>
      <c r="G717" s="3">
        <v>16387.49999</v>
      </c>
    </row>
    <row r="718" spans="1:7" x14ac:dyDescent="0.25">
      <c r="A718" s="1">
        <v>8</v>
      </c>
      <c r="B718" s="1" t="s">
        <v>13</v>
      </c>
      <c r="C718" s="1" t="s">
        <v>59</v>
      </c>
      <c r="D718" s="1">
        <v>1998</v>
      </c>
      <c r="E718" s="1" t="s">
        <v>91</v>
      </c>
      <c r="F718" s="1">
        <v>245</v>
      </c>
      <c r="G718" s="3">
        <v>3812.6999959999998</v>
      </c>
    </row>
    <row r="719" spans="1:7" x14ac:dyDescent="0.25">
      <c r="A719" s="1">
        <v>2</v>
      </c>
      <c r="B719" s="1" t="s">
        <v>19</v>
      </c>
      <c r="C719" s="1" t="s">
        <v>60</v>
      </c>
      <c r="D719" s="1">
        <v>1998</v>
      </c>
      <c r="E719" s="1" t="s">
        <v>89</v>
      </c>
      <c r="F719" s="1">
        <v>59</v>
      </c>
      <c r="G719" s="3">
        <v>1353.6</v>
      </c>
    </row>
    <row r="720" spans="1:7" x14ac:dyDescent="0.25">
      <c r="A720" s="1">
        <v>8</v>
      </c>
      <c r="B720" s="1" t="s">
        <v>13</v>
      </c>
      <c r="C720" s="1" t="s">
        <v>61</v>
      </c>
      <c r="D720" s="1">
        <v>1998</v>
      </c>
      <c r="E720" s="1" t="s">
        <v>89</v>
      </c>
      <c r="F720" s="1">
        <v>66</v>
      </c>
      <c r="G720" s="3">
        <v>1119.9000000000001</v>
      </c>
    </row>
    <row r="721" spans="1:7" x14ac:dyDescent="0.25">
      <c r="A721" s="1">
        <v>6</v>
      </c>
      <c r="B721" s="1" t="s">
        <v>7</v>
      </c>
      <c r="C721" s="1" t="s">
        <v>61</v>
      </c>
      <c r="D721" s="1">
        <v>1998</v>
      </c>
      <c r="E721" s="1" t="s">
        <v>88</v>
      </c>
      <c r="F721" s="1">
        <v>25</v>
      </c>
      <c r="G721" s="3">
        <v>537.5</v>
      </c>
    </row>
    <row r="722" spans="1:7" x14ac:dyDescent="0.25">
      <c r="A722" s="1">
        <v>8</v>
      </c>
      <c r="B722" s="1" t="s">
        <v>13</v>
      </c>
      <c r="C722" s="1" t="s">
        <v>61</v>
      </c>
      <c r="D722" s="1">
        <v>1998</v>
      </c>
      <c r="E722" s="1" t="s">
        <v>87</v>
      </c>
      <c r="F722" s="1">
        <v>72</v>
      </c>
      <c r="G722" s="3">
        <v>2027.079986</v>
      </c>
    </row>
    <row r="723" spans="1:7" x14ac:dyDescent="0.25">
      <c r="A723" s="1">
        <v>4</v>
      </c>
      <c r="B723" s="1" t="s">
        <v>19</v>
      </c>
      <c r="C723" s="1" t="s">
        <v>61</v>
      </c>
      <c r="D723" s="1">
        <v>1998</v>
      </c>
      <c r="E723" s="1" t="s">
        <v>88</v>
      </c>
      <c r="F723" s="1">
        <v>85</v>
      </c>
      <c r="G723" s="3">
        <v>768.75</v>
      </c>
    </row>
    <row r="724" spans="1:7" x14ac:dyDescent="0.25">
      <c r="A724" s="1">
        <v>7</v>
      </c>
      <c r="B724" s="1" t="s">
        <v>7</v>
      </c>
      <c r="C724" s="1" t="s">
        <v>61</v>
      </c>
      <c r="D724" s="1">
        <v>1998</v>
      </c>
      <c r="E724" s="1" t="s">
        <v>88</v>
      </c>
      <c r="F724" s="1">
        <v>92</v>
      </c>
      <c r="G724" s="3">
        <v>1920.599999</v>
      </c>
    </row>
    <row r="725" spans="1:7" x14ac:dyDescent="0.25">
      <c r="A725" s="1">
        <v>6</v>
      </c>
      <c r="B725" s="1" t="s">
        <v>7</v>
      </c>
      <c r="C725" s="1" t="s">
        <v>106</v>
      </c>
      <c r="D725" s="1">
        <v>1998</v>
      </c>
      <c r="E725" s="1" t="s">
        <v>85</v>
      </c>
      <c r="F725" s="1">
        <v>5</v>
      </c>
      <c r="G725" s="3">
        <v>76</v>
      </c>
    </row>
    <row r="726" spans="1:7" x14ac:dyDescent="0.25">
      <c r="A726" s="1">
        <v>1</v>
      </c>
      <c r="B726" s="1" t="s">
        <v>19</v>
      </c>
      <c r="C726" s="1" t="s">
        <v>106</v>
      </c>
      <c r="D726" s="1">
        <v>1998</v>
      </c>
      <c r="E726" s="1" t="s">
        <v>88</v>
      </c>
      <c r="F726" s="1">
        <v>32</v>
      </c>
      <c r="G726" s="3">
        <v>686.7</v>
      </c>
    </row>
    <row r="727" spans="1:7" x14ac:dyDescent="0.25">
      <c r="A727" s="1">
        <v>9</v>
      </c>
      <c r="B727" s="1" t="s">
        <v>13</v>
      </c>
      <c r="C727" s="1" t="s">
        <v>106</v>
      </c>
      <c r="D727" s="1">
        <v>1998</v>
      </c>
      <c r="E727" s="1" t="s">
        <v>91</v>
      </c>
      <c r="F727" s="1">
        <v>7</v>
      </c>
      <c r="G727" s="3">
        <v>932</v>
      </c>
    </row>
    <row r="728" spans="1:7" x14ac:dyDescent="0.25">
      <c r="A728" s="1">
        <v>2</v>
      </c>
      <c r="B728" s="1" t="s">
        <v>19</v>
      </c>
      <c r="C728" s="1" t="s">
        <v>62</v>
      </c>
      <c r="D728" s="1">
        <v>1998</v>
      </c>
      <c r="E728" s="1" t="s">
        <v>85</v>
      </c>
      <c r="F728" s="1">
        <v>85</v>
      </c>
      <c r="G728" s="3">
        <v>903.75</v>
      </c>
    </row>
    <row r="729" spans="1:7" x14ac:dyDescent="0.25">
      <c r="A729" s="1">
        <v>1</v>
      </c>
      <c r="B729" s="1" t="s">
        <v>19</v>
      </c>
      <c r="C729" s="1" t="s">
        <v>62</v>
      </c>
      <c r="D729" s="1">
        <v>1998</v>
      </c>
      <c r="E729" s="1" t="s">
        <v>87</v>
      </c>
      <c r="F729" s="1">
        <v>72</v>
      </c>
      <c r="G729" s="3">
        <v>1255.720499</v>
      </c>
    </row>
    <row r="730" spans="1:7" x14ac:dyDescent="0.25">
      <c r="A730" s="1">
        <v>3</v>
      </c>
      <c r="B730" s="1" t="s">
        <v>10</v>
      </c>
      <c r="C730" s="1" t="s">
        <v>62</v>
      </c>
      <c r="D730" s="1">
        <v>1998</v>
      </c>
      <c r="E730" s="1" t="s">
        <v>89</v>
      </c>
      <c r="F730" s="1">
        <v>100</v>
      </c>
      <c r="G730" s="3">
        <v>3574.7999970000001</v>
      </c>
    </row>
    <row r="731" spans="1:7" x14ac:dyDescent="0.25">
      <c r="A731" s="1">
        <v>9</v>
      </c>
      <c r="B731" s="1" t="s">
        <v>13</v>
      </c>
      <c r="C731" s="1" t="s">
        <v>62</v>
      </c>
      <c r="D731" s="1">
        <v>1998</v>
      </c>
      <c r="E731" s="1" t="s">
        <v>88</v>
      </c>
      <c r="F731" s="1">
        <v>80</v>
      </c>
      <c r="G731" s="3">
        <v>11380</v>
      </c>
    </row>
    <row r="732" spans="1:7" x14ac:dyDescent="0.25">
      <c r="A732" s="1">
        <v>8</v>
      </c>
      <c r="B732" s="1" t="s">
        <v>13</v>
      </c>
      <c r="C732" s="1" t="s">
        <v>62</v>
      </c>
      <c r="D732" s="1">
        <v>1998</v>
      </c>
      <c r="E732" s="1" t="s">
        <v>91</v>
      </c>
      <c r="F732" s="1">
        <v>71</v>
      </c>
      <c r="G732" s="3">
        <v>2984</v>
      </c>
    </row>
    <row r="733" spans="1:7" x14ac:dyDescent="0.25">
      <c r="A733" s="1">
        <v>3</v>
      </c>
      <c r="B733" s="1" t="s">
        <v>10</v>
      </c>
      <c r="C733" s="1" t="s">
        <v>62</v>
      </c>
      <c r="D733" s="1">
        <v>1998</v>
      </c>
      <c r="E733" s="1" t="s">
        <v>91</v>
      </c>
      <c r="F733" s="1">
        <v>30</v>
      </c>
      <c r="G733" s="3">
        <v>1140</v>
      </c>
    </row>
    <row r="734" spans="1:7" x14ac:dyDescent="0.25">
      <c r="A734" s="1">
        <v>9</v>
      </c>
      <c r="B734" s="1" t="s">
        <v>13</v>
      </c>
      <c r="C734" s="1" t="s">
        <v>63</v>
      </c>
      <c r="D734" s="1">
        <v>1998</v>
      </c>
      <c r="E734" s="1" t="s">
        <v>89</v>
      </c>
      <c r="F734" s="1">
        <v>28</v>
      </c>
      <c r="G734" s="3">
        <v>560</v>
      </c>
    </row>
    <row r="735" spans="1:7" x14ac:dyDescent="0.25">
      <c r="A735" s="1">
        <v>4</v>
      </c>
      <c r="B735" s="1" t="s">
        <v>19</v>
      </c>
      <c r="C735" s="1" t="s">
        <v>63</v>
      </c>
      <c r="D735" s="1">
        <v>1998</v>
      </c>
      <c r="E735" s="1" t="s">
        <v>85</v>
      </c>
      <c r="F735" s="1">
        <v>22</v>
      </c>
      <c r="G735" s="3">
        <v>406.39999849999998</v>
      </c>
    </row>
    <row r="736" spans="1:7" x14ac:dyDescent="0.25">
      <c r="A736" s="1">
        <v>2</v>
      </c>
      <c r="B736" s="1" t="s">
        <v>19</v>
      </c>
      <c r="C736" s="1" t="s">
        <v>63</v>
      </c>
      <c r="D736" s="1">
        <v>1998</v>
      </c>
      <c r="E736" s="1" t="s">
        <v>85</v>
      </c>
      <c r="F736" s="1">
        <v>30</v>
      </c>
      <c r="G736" s="3">
        <v>645</v>
      </c>
    </row>
    <row r="737" spans="1:7" x14ac:dyDescent="0.25">
      <c r="A737" s="1">
        <v>4</v>
      </c>
      <c r="B737" s="1" t="s">
        <v>19</v>
      </c>
      <c r="C737" s="1" t="s">
        <v>63</v>
      </c>
      <c r="D737" s="1">
        <v>1998</v>
      </c>
      <c r="E737" s="1" t="s">
        <v>88</v>
      </c>
      <c r="F737" s="1">
        <v>34</v>
      </c>
      <c r="G737" s="3">
        <v>663.09999949999997</v>
      </c>
    </row>
    <row r="738" spans="1:7" x14ac:dyDescent="0.25">
      <c r="A738" s="1">
        <v>5</v>
      </c>
      <c r="B738" s="1" t="s">
        <v>19</v>
      </c>
      <c r="C738" s="1" t="s">
        <v>63</v>
      </c>
      <c r="D738" s="1">
        <v>1998</v>
      </c>
      <c r="E738" s="1" t="s">
        <v>91</v>
      </c>
      <c r="F738" s="1">
        <v>76</v>
      </c>
      <c r="G738" s="3">
        <v>1692.799998</v>
      </c>
    </row>
    <row r="739" spans="1:7" x14ac:dyDescent="0.25">
      <c r="A739" s="1">
        <v>2</v>
      </c>
      <c r="B739" s="1" t="s">
        <v>19</v>
      </c>
      <c r="C739" s="1" t="s">
        <v>64</v>
      </c>
      <c r="D739" s="1">
        <v>1998</v>
      </c>
      <c r="E739" s="1" t="s">
        <v>85</v>
      </c>
      <c r="F739" s="1">
        <v>77</v>
      </c>
      <c r="G739" s="3">
        <v>1838</v>
      </c>
    </row>
    <row r="740" spans="1:7" x14ac:dyDescent="0.25">
      <c r="A740" s="1">
        <v>1</v>
      </c>
      <c r="B740" s="1" t="s">
        <v>19</v>
      </c>
      <c r="C740" s="1" t="s">
        <v>64</v>
      </c>
      <c r="D740" s="1">
        <v>1998</v>
      </c>
      <c r="E740" s="1" t="s">
        <v>88</v>
      </c>
      <c r="F740" s="1">
        <v>55</v>
      </c>
      <c r="G740" s="3">
        <v>1955.125</v>
      </c>
    </row>
    <row r="741" spans="1:7" x14ac:dyDescent="0.25">
      <c r="A741" s="1">
        <v>5</v>
      </c>
      <c r="B741" s="1" t="s">
        <v>19</v>
      </c>
      <c r="C741" s="1" t="s">
        <v>64</v>
      </c>
      <c r="D741" s="1">
        <v>1998</v>
      </c>
      <c r="E741" s="1" t="s">
        <v>91</v>
      </c>
      <c r="F741" s="1">
        <v>67</v>
      </c>
      <c r="G741" s="3">
        <v>2602.9999979999998</v>
      </c>
    </row>
    <row r="742" spans="1:7" x14ac:dyDescent="0.25">
      <c r="A742" s="1">
        <v>1</v>
      </c>
      <c r="B742" s="1" t="s">
        <v>19</v>
      </c>
      <c r="C742" s="1" t="s">
        <v>64</v>
      </c>
      <c r="D742" s="1">
        <v>1998</v>
      </c>
      <c r="E742" s="1" t="s">
        <v>91</v>
      </c>
      <c r="F742" s="1">
        <v>47</v>
      </c>
      <c r="G742" s="3">
        <v>602.39999929999999</v>
      </c>
    </row>
    <row r="743" spans="1:7" x14ac:dyDescent="0.25">
      <c r="A743" s="1">
        <v>8</v>
      </c>
      <c r="B743" s="1" t="s">
        <v>13</v>
      </c>
      <c r="C743" s="1" t="s">
        <v>65</v>
      </c>
      <c r="D743" s="1">
        <v>1998</v>
      </c>
      <c r="E743" s="1" t="s">
        <v>87</v>
      </c>
      <c r="F743" s="1">
        <v>42</v>
      </c>
      <c r="G743" s="3">
        <v>498.09999649999997</v>
      </c>
    </row>
    <row r="744" spans="1:7" x14ac:dyDescent="0.25">
      <c r="A744" s="1">
        <v>7</v>
      </c>
      <c r="B744" s="1" t="s">
        <v>7</v>
      </c>
      <c r="C744" s="1" t="s">
        <v>65</v>
      </c>
      <c r="D744" s="1">
        <v>1998</v>
      </c>
      <c r="E744" s="1" t="s">
        <v>85</v>
      </c>
      <c r="F744" s="1">
        <v>106</v>
      </c>
      <c r="G744" s="3">
        <v>3232.7999949999999</v>
      </c>
    </row>
    <row r="745" spans="1:7" x14ac:dyDescent="0.25">
      <c r="A745" s="1">
        <v>9</v>
      </c>
      <c r="B745" s="1" t="s">
        <v>13</v>
      </c>
      <c r="C745" s="1" t="s">
        <v>65</v>
      </c>
      <c r="D745" s="1">
        <v>1998</v>
      </c>
      <c r="E745" s="1" t="s">
        <v>89</v>
      </c>
      <c r="F745" s="1">
        <v>71</v>
      </c>
      <c r="G745" s="3">
        <v>458.75499960000002</v>
      </c>
    </row>
    <row r="746" spans="1:7" x14ac:dyDescent="0.25">
      <c r="A746" s="1">
        <v>4</v>
      </c>
      <c r="B746" s="1" t="s">
        <v>19</v>
      </c>
      <c r="C746" s="1" t="s">
        <v>65</v>
      </c>
      <c r="D746" s="1">
        <v>1998</v>
      </c>
      <c r="E746" s="1" t="s">
        <v>89</v>
      </c>
      <c r="F746" s="1">
        <v>72</v>
      </c>
      <c r="G746" s="3">
        <v>799.19999849999999</v>
      </c>
    </row>
    <row r="747" spans="1:7" x14ac:dyDescent="0.25">
      <c r="A747" s="1">
        <v>4</v>
      </c>
      <c r="B747" s="1" t="s">
        <v>19</v>
      </c>
      <c r="C747" s="1" t="s">
        <v>66</v>
      </c>
      <c r="D747" s="1">
        <v>1998</v>
      </c>
      <c r="E747" s="1" t="s">
        <v>89</v>
      </c>
      <c r="F747" s="1">
        <v>11</v>
      </c>
      <c r="G747" s="3">
        <v>365.89</v>
      </c>
    </row>
    <row r="748" spans="1:7" x14ac:dyDescent="0.25">
      <c r="A748" s="1">
        <v>2</v>
      </c>
      <c r="B748" s="1" t="s">
        <v>19</v>
      </c>
      <c r="C748" s="1" t="s">
        <v>66</v>
      </c>
      <c r="D748" s="1">
        <v>1998</v>
      </c>
      <c r="E748" s="1" t="s">
        <v>85</v>
      </c>
      <c r="F748" s="1">
        <v>36</v>
      </c>
      <c r="G748" s="3">
        <v>361</v>
      </c>
    </row>
    <row r="749" spans="1:7" x14ac:dyDescent="0.25">
      <c r="A749" s="1">
        <v>2</v>
      </c>
      <c r="B749" s="1" t="s">
        <v>19</v>
      </c>
      <c r="C749" s="1" t="s">
        <v>67</v>
      </c>
      <c r="D749" s="1">
        <v>1998</v>
      </c>
      <c r="E749" s="1" t="s">
        <v>85</v>
      </c>
      <c r="F749" s="1">
        <v>33</v>
      </c>
      <c r="G749" s="3">
        <v>622.35</v>
      </c>
    </row>
    <row r="750" spans="1:7" x14ac:dyDescent="0.25">
      <c r="A750" s="1">
        <v>1</v>
      </c>
      <c r="B750" s="1" t="s">
        <v>19</v>
      </c>
      <c r="C750" s="1" t="s">
        <v>67</v>
      </c>
      <c r="D750" s="1">
        <v>1998</v>
      </c>
      <c r="E750" s="1" t="s">
        <v>88</v>
      </c>
      <c r="F750" s="1">
        <v>32</v>
      </c>
      <c r="G750" s="3">
        <v>670</v>
      </c>
    </row>
    <row r="751" spans="1:7" x14ac:dyDescent="0.25">
      <c r="A751" s="1">
        <v>3</v>
      </c>
      <c r="B751" s="1" t="s">
        <v>10</v>
      </c>
      <c r="C751" s="1" t="s">
        <v>67</v>
      </c>
      <c r="D751" s="1">
        <v>1998</v>
      </c>
      <c r="E751" s="1" t="s">
        <v>91</v>
      </c>
      <c r="F751" s="1">
        <v>27</v>
      </c>
      <c r="G751" s="3">
        <v>2684.4</v>
      </c>
    </row>
    <row r="752" spans="1:7" x14ac:dyDescent="0.25">
      <c r="A752" s="1">
        <v>7</v>
      </c>
      <c r="B752" s="1" t="s">
        <v>7</v>
      </c>
      <c r="C752" s="1" t="s">
        <v>68</v>
      </c>
      <c r="D752" s="1">
        <v>1998</v>
      </c>
      <c r="E752" s="1" t="s">
        <v>85</v>
      </c>
      <c r="F752" s="1">
        <v>330</v>
      </c>
      <c r="G752" s="3">
        <v>12615.05</v>
      </c>
    </row>
    <row r="753" spans="1:7" x14ac:dyDescent="0.25">
      <c r="A753" s="1">
        <v>1</v>
      </c>
      <c r="B753" s="1" t="s">
        <v>19</v>
      </c>
      <c r="C753" s="1" t="s">
        <v>68</v>
      </c>
      <c r="D753" s="1">
        <v>1998</v>
      </c>
      <c r="E753" s="1" t="s">
        <v>87</v>
      </c>
      <c r="F753" s="1">
        <v>173</v>
      </c>
      <c r="G753" s="3">
        <v>4330.3999940000003</v>
      </c>
    </row>
    <row r="754" spans="1:7" x14ac:dyDescent="0.25">
      <c r="A754" s="1">
        <v>6</v>
      </c>
      <c r="B754" s="1" t="s">
        <v>7</v>
      </c>
      <c r="C754" s="1" t="s">
        <v>68</v>
      </c>
      <c r="D754" s="1">
        <v>1998</v>
      </c>
      <c r="E754" s="1" t="s">
        <v>85</v>
      </c>
      <c r="F754" s="1">
        <v>182</v>
      </c>
      <c r="G754" s="3">
        <v>2393.5</v>
      </c>
    </row>
    <row r="755" spans="1:7" x14ac:dyDescent="0.25">
      <c r="A755" s="1">
        <v>7</v>
      </c>
      <c r="B755" s="1" t="s">
        <v>7</v>
      </c>
      <c r="C755" s="1" t="s">
        <v>68</v>
      </c>
      <c r="D755" s="1">
        <v>1998</v>
      </c>
      <c r="E755" s="1" t="s">
        <v>89</v>
      </c>
      <c r="F755" s="1">
        <v>204</v>
      </c>
      <c r="G755" s="3">
        <v>4011.75</v>
      </c>
    </row>
    <row r="756" spans="1:7" x14ac:dyDescent="0.25">
      <c r="A756" s="1">
        <v>2</v>
      </c>
      <c r="B756" s="1" t="s">
        <v>19</v>
      </c>
      <c r="C756" s="1" t="s">
        <v>68</v>
      </c>
      <c r="D756" s="1">
        <v>1998</v>
      </c>
      <c r="E756" s="1" t="s">
        <v>89</v>
      </c>
      <c r="F756" s="1">
        <v>99</v>
      </c>
      <c r="G756" s="3">
        <v>720.89999699999998</v>
      </c>
    </row>
    <row r="757" spans="1:7" x14ac:dyDescent="0.25">
      <c r="A757" s="1">
        <v>1</v>
      </c>
      <c r="B757" s="1" t="s">
        <v>19</v>
      </c>
      <c r="C757" s="1" t="s">
        <v>68</v>
      </c>
      <c r="D757" s="1">
        <v>1998</v>
      </c>
      <c r="E757" s="1" t="s">
        <v>88</v>
      </c>
      <c r="F757" s="1">
        <v>198</v>
      </c>
      <c r="G757" s="3">
        <v>2753.0999980000001</v>
      </c>
    </row>
    <row r="758" spans="1:7" x14ac:dyDescent="0.25">
      <c r="A758" s="1">
        <v>4</v>
      </c>
      <c r="B758" s="1" t="s">
        <v>19</v>
      </c>
      <c r="C758" s="1" t="s">
        <v>68</v>
      </c>
      <c r="D758" s="1">
        <v>1998</v>
      </c>
      <c r="E758" s="1" t="s">
        <v>88</v>
      </c>
      <c r="F758" s="1">
        <v>77</v>
      </c>
      <c r="G758" s="3">
        <v>892.63999620000004</v>
      </c>
    </row>
    <row r="759" spans="1:7" x14ac:dyDescent="0.25">
      <c r="A759" s="1">
        <v>4</v>
      </c>
      <c r="B759" s="1" t="s">
        <v>19</v>
      </c>
      <c r="C759" s="1" t="s">
        <v>68</v>
      </c>
      <c r="D759" s="1">
        <v>1998</v>
      </c>
      <c r="E759" s="1" t="s">
        <v>91</v>
      </c>
      <c r="F759" s="1">
        <v>288</v>
      </c>
      <c r="G759" s="3">
        <v>4931.9199820000003</v>
      </c>
    </row>
    <row r="760" spans="1:7" x14ac:dyDescent="0.25">
      <c r="A760" s="1">
        <v>1</v>
      </c>
      <c r="B760" s="1" t="s">
        <v>19</v>
      </c>
      <c r="C760" s="1" t="s">
        <v>68</v>
      </c>
      <c r="D760" s="1">
        <v>1998</v>
      </c>
      <c r="E760" s="1" t="s">
        <v>89</v>
      </c>
      <c r="F760" s="1">
        <v>115</v>
      </c>
      <c r="G760" s="3">
        <v>1809.75</v>
      </c>
    </row>
    <row r="761" spans="1:7" x14ac:dyDescent="0.25">
      <c r="A761" s="1">
        <v>2</v>
      </c>
      <c r="B761" s="1" t="s">
        <v>19</v>
      </c>
      <c r="C761" s="1" t="s">
        <v>68</v>
      </c>
      <c r="D761" s="1">
        <v>1998</v>
      </c>
      <c r="E761" s="1" t="s">
        <v>91</v>
      </c>
      <c r="F761" s="1">
        <v>16</v>
      </c>
      <c r="G761" s="3">
        <v>40</v>
      </c>
    </row>
    <row r="762" spans="1:7" x14ac:dyDescent="0.25">
      <c r="A762" s="1">
        <v>4</v>
      </c>
      <c r="B762" s="1" t="s">
        <v>19</v>
      </c>
      <c r="C762" s="1" t="s">
        <v>68</v>
      </c>
      <c r="D762" s="1">
        <v>1998</v>
      </c>
      <c r="E762" s="1" t="s">
        <v>85</v>
      </c>
      <c r="F762" s="1">
        <v>135</v>
      </c>
      <c r="G762" s="3">
        <v>1811.0999959999999</v>
      </c>
    </row>
    <row r="763" spans="1:7" x14ac:dyDescent="0.25">
      <c r="A763" s="1">
        <v>5</v>
      </c>
      <c r="B763" s="1" t="s">
        <v>19</v>
      </c>
      <c r="C763" s="1" t="s">
        <v>69</v>
      </c>
      <c r="D763" s="1">
        <v>1998</v>
      </c>
      <c r="E763" s="1" t="s">
        <v>88</v>
      </c>
      <c r="F763" s="1">
        <v>120</v>
      </c>
      <c r="G763" s="3">
        <v>1630</v>
      </c>
    </row>
    <row r="764" spans="1:7" x14ac:dyDescent="0.25">
      <c r="A764" s="1">
        <v>7</v>
      </c>
      <c r="B764" s="1" t="s">
        <v>7</v>
      </c>
      <c r="C764" s="1" t="s">
        <v>70</v>
      </c>
      <c r="D764" s="1">
        <v>1998</v>
      </c>
      <c r="E764" s="1" t="s">
        <v>87</v>
      </c>
      <c r="F764" s="1">
        <v>14</v>
      </c>
      <c r="G764" s="3">
        <v>232.08499979999999</v>
      </c>
    </row>
    <row r="765" spans="1:7" x14ac:dyDescent="0.25">
      <c r="A765" s="1">
        <v>3</v>
      </c>
      <c r="B765" s="1" t="s">
        <v>10</v>
      </c>
      <c r="C765" s="1" t="s">
        <v>71</v>
      </c>
      <c r="D765" s="1">
        <v>1998</v>
      </c>
      <c r="E765" s="1" t="s">
        <v>89</v>
      </c>
      <c r="F765" s="1">
        <v>10</v>
      </c>
      <c r="G765" s="3">
        <v>439</v>
      </c>
    </row>
    <row r="766" spans="1:7" x14ac:dyDescent="0.25">
      <c r="A766" s="1">
        <v>1</v>
      </c>
      <c r="B766" s="1" t="s">
        <v>19</v>
      </c>
      <c r="C766" s="1" t="s">
        <v>71</v>
      </c>
      <c r="D766" s="1">
        <v>1998</v>
      </c>
      <c r="E766" s="1" t="s">
        <v>91</v>
      </c>
      <c r="F766" s="1">
        <v>26</v>
      </c>
      <c r="G766" s="3">
        <v>678</v>
      </c>
    </row>
    <row r="767" spans="1:7" x14ac:dyDescent="0.25">
      <c r="A767" s="1">
        <v>5</v>
      </c>
      <c r="B767" s="1" t="s">
        <v>19</v>
      </c>
      <c r="C767" s="1" t="s">
        <v>107</v>
      </c>
      <c r="D767" s="1">
        <v>1998</v>
      </c>
      <c r="E767" s="1" t="s">
        <v>85</v>
      </c>
      <c r="F767" s="1">
        <v>10</v>
      </c>
      <c r="G767" s="3">
        <v>210</v>
      </c>
    </row>
    <row r="768" spans="1:7" x14ac:dyDescent="0.25">
      <c r="A768" s="1">
        <v>3</v>
      </c>
      <c r="B768" s="1" t="s">
        <v>10</v>
      </c>
      <c r="C768" s="1" t="s">
        <v>107</v>
      </c>
      <c r="D768" s="1">
        <v>1998</v>
      </c>
      <c r="E768" s="1" t="s">
        <v>89</v>
      </c>
      <c r="F768" s="1">
        <v>21</v>
      </c>
      <c r="G768" s="3">
        <v>2052.5</v>
      </c>
    </row>
    <row r="769" spans="1:7" x14ac:dyDescent="0.25">
      <c r="A769" s="1">
        <v>6</v>
      </c>
      <c r="B769" s="1" t="s">
        <v>7</v>
      </c>
      <c r="C769" s="1" t="s">
        <v>107</v>
      </c>
      <c r="D769" s="1">
        <v>1998</v>
      </c>
      <c r="E769" s="1" t="s">
        <v>88</v>
      </c>
      <c r="F769" s="1">
        <v>14</v>
      </c>
      <c r="G769" s="3">
        <v>108.5</v>
      </c>
    </row>
    <row r="770" spans="1:7" x14ac:dyDescent="0.25">
      <c r="A770" s="1">
        <v>2</v>
      </c>
      <c r="B770" s="1" t="s">
        <v>19</v>
      </c>
      <c r="C770" s="1" t="s">
        <v>72</v>
      </c>
      <c r="D770" s="1">
        <v>1998</v>
      </c>
      <c r="E770" s="1" t="s">
        <v>85</v>
      </c>
      <c r="F770" s="1">
        <v>110</v>
      </c>
      <c r="G770" s="3">
        <v>1754.5</v>
      </c>
    </row>
    <row r="771" spans="1:7" x14ac:dyDescent="0.25">
      <c r="A771" s="1">
        <v>1</v>
      </c>
      <c r="B771" s="1" t="s">
        <v>19</v>
      </c>
      <c r="C771" s="1" t="s">
        <v>72</v>
      </c>
      <c r="D771" s="1">
        <v>1998</v>
      </c>
      <c r="E771" s="1" t="s">
        <v>85</v>
      </c>
      <c r="F771" s="1">
        <v>37</v>
      </c>
      <c r="G771" s="3">
        <v>732.59999970000001</v>
      </c>
    </row>
    <row r="772" spans="1:7" x14ac:dyDescent="0.25">
      <c r="A772" s="1">
        <v>4</v>
      </c>
      <c r="B772" s="1" t="s">
        <v>19</v>
      </c>
      <c r="C772" s="1" t="s">
        <v>72</v>
      </c>
      <c r="D772" s="1">
        <v>1998</v>
      </c>
      <c r="E772" s="1" t="s">
        <v>89</v>
      </c>
      <c r="F772" s="1">
        <v>116</v>
      </c>
      <c r="G772" s="3">
        <v>2255.4999969999999</v>
      </c>
    </row>
    <row r="773" spans="1:7" x14ac:dyDescent="0.25">
      <c r="A773" s="1">
        <v>6</v>
      </c>
      <c r="B773" s="1" t="s">
        <v>7</v>
      </c>
      <c r="C773" s="1" t="s">
        <v>72</v>
      </c>
      <c r="D773" s="1">
        <v>1998</v>
      </c>
      <c r="E773" s="1" t="s">
        <v>88</v>
      </c>
      <c r="F773" s="1">
        <v>87</v>
      </c>
      <c r="G773" s="3">
        <v>1209</v>
      </c>
    </row>
    <row r="774" spans="1:7" x14ac:dyDescent="0.25">
      <c r="A774" s="1">
        <v>2</v>
      </c>
      <c r="B774" s="1" t="s">
        <v>19</v>
      </c>
      <c r="C774" s="1" t="s">
        <v>72</v>
      </c>
      <c r="D774" s="1">
        <v>1998</v>
      </c>
      <c r="E774" s="1" t="s">
        <v>91</v>
      </c>
      <c r="F774" s="1">
        <v>71</v>
      </c>
      <c r="G774" s="3">
        <v>1112</v>
      </c>
    </row>
    <row r="775" spans="1:7" x14ac:dyDescent="0.25">
      <c r="A775" s="1">
        <v>5</v>
      </c>
      <c r="B775" s="1" t="s">
        <v>19</v>
      </c>
      <c r="C775" s="1" t="s">
        <v>72</v>
      </c>
      <c r="D775" s="1">
        <v>1998</v>
      </c>
      <c r="E775" s="1" t="s">
        <v>91</v>
      </c>
      <c r="F775" s="1">
        <v>111</v>
      </c>
      <c r="G775" s="3">
        <v>4581</v>
      </c>
    </row>
    <row r="776" spans="1:7" x14ac:dyDescent="0.25">
      <c r="A776" s="1">
        <v>1</v>
      </c>
      <c r="B776" s="1" t="s">
        <v>19</v>
      </c>
      <c r="C776" s="1" t="s">
        <v>73</v>
      </c>
      <c r="D776" s="1">
        <v>1998</v>
      </c>
      <c r="E776" s="1" t="s">
        <v>85</v>
      </c>
      <c r="F776" s="1">
        <v>2</v>
      </c>
      <c r="G776" s="3">
        <v>69.599999999999994</v>
      </c>
    </row>
    <row r="777" spans="1:7" x14ac:dyDescent="0.25">
      <c r="A777" s="1">
        <v>3</v>
      </c>
      <c r="B777" s="1" t="s">
        <v>10</v>
      </c>
      <c r="C777" s="1" t="s">
        <v>108</v>
      </c>
      <c r="D777" s="1">
        <v>1998</v>
      </c>
      <c r="E777" s="1" t="s">
        <v>85</v>
      </c>
      <c r="F777" s="1">
        <v>24</v>
      </c>
      <c r="G777" s="3">
        <v>326</v>
      </c>
    </row>
    <row r="778" spans="1:7" x14ac:dyDescent="0.25">
      <c r="A778" s="1">
        <v>2</v>
      </c>
      <c r="B778" s="1" t="s">
        <v>19</v>
      </c>
      <c r="C778" s="1" t="s">
        <v>74</v>
      </c>
      <c r="D778" s="1">
        <v>1998</v>
      </c>
      <c r="E778" s="1" t="s">
        <v>89</v>
      </c>
      <c r="F778" s="1">
        <v>52</v>
      </c>
      <c r="G778" s="3">
        <v>910.4</v>
      </c>
    </row>
    <row r="779" spans="1:7" x14ac:dyDescent="0.25">
      <c r="A779" s="1">
        <v>1</v>
      </c>
      <c r="B779" s="1" t="s">
        <v>19</v>
      </c>
      <c r="C779" s="1" t="s">
        <v>75</v>
      </c>
      <c r="D779" s="1">
        <v>1998</v>
      </c>
      <c r="E779" s="1" t="s">
        <v>87</v>
      </c>
      <c r="F779" s="1">
        <v>20</v>
      </c>
      <c r="G779" s="3">
        <v>360</v>
      </c>
    </row>
    <row r="780" spans="1:7" x14ac:dyDescent="0.25">
      <c r="A780" s="1">
        <v>2</v>
      </c>
      <c r="B780" s="1" t="s">
        <v>19</v>
      </c>
      <c r="C780" s="1" t="s">
        <v>75</v>
      </c>
      <c r="D780" s="1">
        <v>1998</v>
      </c>
      <c r="E780" s="1" t="s">
        <v>88</v>
      </c>
      <c r="F780" s="1">
        <v>50</v>
      </c>
      <c r="G780" s="3">
        <v>539.5</v>
      </c>
    </row>
    <row r="781" spans="1:7" x14ac:dyDescent="0.25">
      <c r="A781" s="1">
        <v>1</v>
      </c>
      <c r="B781" s="1" t="s">
        <v>19</v>
      </c>
      <c r="C781" s="1" t="s">
        <v>75</v>
      </c>
      <c r="D781" s="1">
        <v>1998</v>
      </c>
      <c r="E781" s="1" t="s">
        <v>91</v>
      </c>
      <c r="F781" s="1">
        <v>52</v>
      </c>
      <c r="G781" s="3">
        <v>975</v>
      </c>
    </row>
    <row r="782" spans="1:7" x14ac:dyDescent="0.25">
      <c r="A782" s="1">
        <v>3</v>
      </c>
      <c r="B782" s="1" t="s">
        <v>10</v>
      </c>
      <c r="C782" s="1" t="s">
        <v>76</v>
      </c>
      <c r="D782" s="1">
        <v>1998</v>
      </c>
      <c r="E782" s="1" t="s">
        <v>91</v>
      </c>
      <c r="F782" s="1">
        <v>45</v>
      </c>
      <c r="G782" s="3">
        <v>827.54999859999998</v>
      </c>
    </row>
    <row r="783" spans="1:7" x14ac:dyDescent="0.25">
      <c r="A783" s="1">
        <v>1</v>
      </c>
      <c r="B783" s="1" t="s">
        <v>19</v>
      </c>
      <c r="C783" s="1" t="s">
        <v>76</v>
      </c>
      <c r="D783" s="1">
        <v>1998</v>
      </c>
      <c r="E783" s="1" t="s">
        <v>91</v>
      </c>
      <c r="F783" s="1">
        <v>28</v>
      </c>
      <c r="G783" s="3">
        <v>1432.7139990000001</v>
      </c>
    </row>
    <row r="784" spans="1:7" x14ac:dyDescent="0.25">
      <c r="A784" s="1">
        <v>4</v>
      </c>
      <c r="B784" s="1" t="s">
        <v>19</v>
      </c>
      <c r="C784" s="1" t="s">
        <v>76</v>
      </c>
      <c r="D784" s="1">
        <v>1998</v>
      </c>
      <c r="E784" s="1" t="s">
        <v>91</v>
      </c>
      <c r="F784" s="1">
        <v>88</v>
      </c>
      <c r="G784" s="3">
        <v>1974</v>
      </c>
    </row>
    <row r="785" spans="1:7" x14ac:dyDescent="0.25">
      <c r="A785" s="1">
        <v>6</v>
      </c>
      <c r="B785" s="1" t="s">
        <v>7</v>
      </c>
      <c r="C785" s="1" t="s">
        <v>109</v>
      </c>
      <c r="D785" s="1">
        <v>1998</v>
      </c>
      <c r="E785" s="1" t="s">
        <v>91</v>
      </c>
      <c r="F785" s="1">
        <v>9</v>
      </c>
      <c r="G785" s="3">
        <v>237.9</v>
      </c>
    </row>
    <row r="786" spans="1:7" x14ac:dyDescent="0.25">
      <c r="A786" s="1">
        <v>1</v>
      </c>
      <c r="B786" s="1" t="s">
        <v>19</v>
      </c>
      <c r="C786" s="1" t="s">
        <v>77</v>
      </c>
      <c r="D786" s="1">
        <v>1998</v>
      </c>
      <c r="E786" s="1" t="s">
        <v>89</v>
      </c>
      <c r="F786" s="1">
        <v>140</v>
      </c>
      <c r="G786" s="3">
        <v>3343.5</v>
      </c>
    </row>
    <row r="787" spans="1:7" x14ac:dyDescent="0.25">
      <c r="A787" s="1">
        <v>2</v>
      </c>
      <c r="B787" s="1" t="s">
        <v>19</v>
      </c>
      <c r="C787" s="1" t="s">
        <v>77</v>
      </c>
      <c r="D787" s="1">
        <v>1998</v>
      </c>
      <c r="E787" s="1" t="s">
        <v>85</v>
      </c>
      <c r="F787" s="1">
        <v>18</v>
      </c>
      <c r="G787" s="3">
        <v>940.49999930000001</v>
      </c>
    </row>
    <row r="788" spans="1:7" x14ac:dyDescent="0.25">
      <c r="A788" s="1">
        <v>1</v>
      </c>
      <c r="B788" s="1" t="s">
        <v>19</v>
      </c>
      <c r="C788" s="1" t="s">
        <v>78</v>
      </c>
      <c r="D788" s="1">
        <v>1998</v>
      </c>
      <c r="E788" s="1" t="s">
        <v>91</v>
      </c>
      <c r="F788" s="1">
        <v>54</v>
      </c>
      <c r="G788" s="3">
        <v>628.99999560000003</v>
      </c>
    </row>
    <row r="789" spans="1:7" x14ac:dyDescent="0.25">
      <c r="A789" s="1">
        <v>4</v>
      </c>
      <c r="B789" s="1" t="s">
        <v>19</v>
      </c>
      <c r="C789" s="1" t="s">
        <v>78</v>
      </c>
      <c r="D789" s="1">
        <v>1998</v>
      </c>
      <c r="E789" s="1" t="s">
        <v>91</v>
      </c>
      <c r="F789" s="1">
        <v>4</v>
      </c>
      <c r="G789" s="3">
        <v>159</v>
      </c>
    </row>
    <row r="790" spans="1:7" x14ac:dyDescent="0.25">
      <c r="A790" s="1">
        <v>3</v>
      </c>
      <c r="B790" s="1" t="s">
        <v>10</v>
      </c>
      <c r="C790" s="1" t="s">
        <v>78</v>
      </c>
      <c r="D790" s="1">
        <v>1998</v>
      </c>
      <c r="E790" s="1" t="s">
        <v>91</v>
      </c>
      <c r="F790" s="1">
        <v>78</v>
      </c>
      <c r="G790" s="3">
        <v>1788.449989</v>
      </c>
    </row>
    <row r="791" spans="1:7" x14ac:dyDescent="0.25">
      <c r="A791" s="1">
        <v>6</v>
      </c>
      <c r="B791" s="1" t="s">
        <v>7</v>
      </c>
      <c r="C791" s="1" t="s">
        <v>80</v>
      </c>
      <c r="D791" s="1">
        <v>1998</v>
      </c>
      <c r="E791" s="1" t="s">
        <v>85</v>
      </c>
      <c r="F791" s="1">
        <v>30</v>
      </c>
      <c r="G791" s="3">
        <v>269.99999960000002</v>
      </c>
    </row>
    <row r="792" spans="1:7" x14ac:dyDescent="0.25">
      <c r="A792" s="1">
        <v>4</v>
      </c>
      <c r="B792" s="1" t="s">
        <v>19</v>
      </c>
      <c r="C792" s="1" t="s">
        <v>81</v>
      </c>
      <c r="D792" s="1">
        <v>1998</v>
      </c>
      <c r="E792" s="1" t="s">
        <v>89</v>
      </c>
      <c r="F792" s="1">
        <v>33</v>
      </c>
      <c r="G792" s="3">
        <v>619.5</v>
      </c>
    </row>
    <row r="793" spans="1:7" x14ac:dyDescent="0.25">
      <c r="A793" s="1">
        <v>1</v>
      </c>
      <c r="B793" s="1" t="s">
        <v>19</v>
      </c>
      <c r="C793" s="1" t="s">
        <v>81</v>
      </c>
      <c r="D793" s="1">
        <v>1998</v>
      </c>
      <c r="E793" s="1" t="s">
        <v>88</v>
      </c>
      <c r="F793" s="1">
        <v>3</v>
      </c>
      <c r="G793" s="3">
        <v>33.75</v>
      </c>
    </row>
    <row r="794" spans="1:7" x14ac:dyDescent="0.25">
      <c r="A794" s="1">
        <v>9</v>
      </c>
      <c r="B794" s="1" t="s">
        <v>13</v>
      </c>
      <c r="C794" s="1" t="s">
        <v>81</v>
      </c>
      <c r="D794" s="1">
        <v>1998</v>
      </c>
      <c r="E794" s="1" t="s">
        <v>88</v>
      </c>
      <c r="F794" s="1">
        <v>20</v>
      </c>
      <c r="G794" s="3">
        <v>341.99999969999999</v>
      </c>
    </row>
    <row r="795" spans="1:7" x14ac:dyDescent="0.25">
      <c r="A795" s="1">
        <v>7</v>
      </c>
      <c r="B795" s="1" t="s">
        <v>7</v>
      </c>
      <c r="C795" s="1" t="s">
        <v>81</v>
      </c>
      <c r="D795" s="1">
        <v>1998</v>
      </c>
      <c r="E795" s="1" t="s">
        <v>91</v>
      </c>
      <c r="F795" s="1">
        <v>20</v>
      </c>
      <c r="G795" s="3">
        <v>140</v>
      </c>
    </row>
    <row r="796" spans="1:7" x14ac:dyDescent="0.25">
      <c r="A796" s="1">
        <v>3</v>
      </c>
      <c r="B796" s="1" t="s">
        <v>10</v>
      </c>
      <c r="C796" s="1" t="s">
        <v>82</v>
      </c>
      <c r="D796" s="1">
        <v>1998</v>
      </c>
      <c r="E796" s="1" t="s">
        <v>88</v>
      </c>
      <c r="F796" s="1">
        <v>50</v>
      </c>
      <c r="G796" s="3">
        <v>1924.25</v>
      </c>
    </row>
    <row r="797" spans="1:7" x14ac:dyDescent="0.25">
      <c r="A797" s="1">
        <v>4</v>
      </c>
      <c r="B797" s="1" t="s">
        <v>19</v>
      </c>
      <c r="C797" s="1" t="s">
        <v>82</v>
      </c>
      <c r="D797" s="1">
        <v>1998</v>
      </c>
      <c r="E797" s="1" t="s">
        <v>91</v>
      </c>
      <c r="F797" s="1">
        <v>140</v>
      </c>
      <c r="G797" s="3">
        <v>3523.4</v>
      </c>
    </row>
    <row r="798" spans="1:7" x14ac:dyDescent="0.25">
      <c r="A798" s="1">
        <v>7</v>
      </c>
      <c r="B798" s="1" t="s">
        <v>7</v>
      </c>
      <c r="C798" s="1" t="s">
        <v>82</v>
      </c>
      <c r="D798" s="1">
        <v>1998</v>
      </c>
      <c r="E798" s="1" t="s">
        <v>87</v>
      </c>
      <c r="F798" s="1">
        <v>80</v>
      </c>
      <c r="G798" s="3">
        <v>928.75</v>
      </c>
    </row>
    <row r="799" spans="1:7" x14ac:dyDescent="0.25">
      <c r="A799" s="1">
        <v>2</v>
      </c>
      <c r="B799" s="1" t="s">
        <v>19</v>
      </c>
      <c r="C799" s="1" t="s">
        <v>82</v>
      </c>
      <c r="D799" s="1">
        <v>1998</v>
      </c>
      <c r="E799" s="1" t="s">
        <v>85</v>
      </c>
      <c r="F799" s="1">
        <v>90</v>
      </c>
      <c r="G799" s="3">
        <v>8902.5</v>
      </c>
    </row>
    <row r="800" spans="1:7" x14ac:dyDescent="0.25">
      <c r="A800" s="1">
        <v>1</v>
      </c>
      <c r="B800" s="1" t="s">
        <v>19</v>
      </c>
      <c r="C800" s="1" t="s">
        <v>110</v>
      </c>
      <c r="D800" s="1">
        <v>1998</v>
      </c>
      <c r="E800" s="1" t="s">
        <v>88</v>
      </c>
      <c r="F800" s="1">
        <v>27</v>
      </c>
      <c r="G800" s="3">
        <v>452.9</v>
      </c>
    </row>
    <row r="801" spans="1:7" x14ac:dyDescent="0.25">
      <c r="A801" s="1">
        <v>4</v>
      </c>
      <c r="B801" s="1" t="s">
        <v>19</v>
      </c>
      <c r="C801" s="1" t="s">
        <v>110</v>
      </c>
      <c r="D801" s="1">
        <v>1998</v>
      </c>
      <c r="E801" s="1" t="s">
        <v>88</v>
      </c>
      <c r="F801" s="1">
        <v>23</v>
      </c>
      <c r="G801" s="3">
        <v>336.8</v>
      </c>
    </row>
    <row r="802" spans="1:7" x14ac:dyDescent="0.25">
      <c r="A802" s="1">
        <v>3</v>
      </c>
      <c r="B802" s="1" t="s">
        <v>10</v>
      </c>
      <c r="C802" s="1" t="s">
        <v>110</v>
      </c>
      <c r="D802" s="1">
        <v>1998</v>
      </c>
      <c r="E802" s="1" t="s">
        <v>88</v>
      </c>
      <c r="F802" s="1">
        <v>32</v>
      </c>
      <c r="G802" s="3">
        <v>611.29999999999995</v>
      </c>
    </row>
    <row r="803" spans="1:7" x14ac:dyDescent="0.25">
      <c r="A803" s="1">
        <v>2</v>
      </c>
      <c r="B803" s="1" t="s">
        <v>19</v>
      </c>
      <c r="C803" s="1" t="s">
        <v>110</v>
      </c>
      <c r="D803" s="1">
        <v>1998</v>
      </c>
      <c r="E803" s="1" t="s">
        <v>85</v>
      </c>
      <c r="F803" s="1">
        <v>12</v>
      </c>
      <c r="G803" s="3">
        <v>586</v>
      </c>
    </row>
    <row r="804" spans="1:7" x14ac:dyDescent="0.25">
      <c r="A804" s="1">
        <v>4</v>
      </c>
      <c r="B804" s="1" t="s">
        <v>19</v>
      </c>
      <c r="C804" s="1" t="s">
        <v>83</v>
      </c>
      <c r="D804" s="1">
        <v>1998</v>
      </c>
      <c r="E804" s="1" t="s">
        <v>88</v>
      </c>
      <c r="F804" s="1">
        <v>15</v>
      </c>
      <c r="G804" s="3">
        <v>427.5</v>
      </c>
    </row>
    <row r="805" spans="1:7" x14ac:dyDescent="0.25">
      <c r="A805" s="1">
        <v>4</v>
      </c>
      <c r="B805" s="1" t="s">
        <v>19</v>
      </c>
      <c r="C805" s="1" t="s">
        <v>83</v>
      </c>
      <c r="D805" s="1">
        <v>1998</v>
      </c>
      <c r="E805" s="1" t="s">
        <v>85</v>
      </c>
      <c r="F805" s="1">
        <v>12</v>
      </c>
      <c r="G805" s="3">
        <v>591.6</v>
      </c>
    </row>
    <row r="806" spans="1:7" x14ac:dyDescent="0.25">
      <c r="A806" s="1">
        <v>8</v>
      </c>
      <c r="B806" s="1" t="s">
        <v>13</v>
      </c>
      <c r="C806" s="1" t="s">
        <v>83</v>
      </c>
      <c r="D806" s="1">
        <v>1998</v>
      </c>
      <c r="E806" s="1" t="s">
        <v>85</v>
      </c>
      <c r="F806" s="1">
        <v>69</v>
      </c>
      <c r="G806" s="3">
        <v>686</v>
      </c>
    </row>
    <row r="807" spans="1:7" x14ac:dyDescent="0.25">
      <c r="A807" s="1">
        <v>5</v>
      </c>
      <c r="B807" s="1" t="s">
        <v>19</v>
      </c>
      <c r="C807" s="1" t="s">
        <v>83</v>
      </c>
      <c r="D807" s="1">
        <v>1998</v>
      </c>
      <c r="E807" s="1" t="s">
        <v>88</v>
      </c>
      <c r="F807" s="1">
        <v>5</v>
      </c>
      <c r="G807" s="3">
        <v>160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3A613-2A9A-47C7-B648-D9FBB49C1D5B}">
  <dimension ref="A1:G263"/>
  <sheetViews>
    <sheetView workbookViewId="0"/>
  </sheetViews>
  <sheetFormatPr defaultRowHeight="15" x14ac:dyDescent="0.25"/>
  <cols>
    <col min="1" max="1" width="14.28515625" bestFit="1" customWidth="1"/>
    <col min="2" max="2" width="20.42578125" bestFit="1" customWidth="1"/>
    <col min="3" max="3" width="33.85546875" bestFit="1" customWidth="1"/>
    <col min="4" max="4" width="7.28515625" bestFit="1" customWidth="1"/>
    <col min="5" max="5" width="9" bestFit="1" customWidth="1"/>
    <col min="6" max="6" width="16" bestFit="1" customWidth="1"/>
    <col min="7" max="7" width="13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19</v>
      </c>
      <c r="C2" t="s">
        <v>84</v>
      </c>
      <c r="D2">
        <v>1998</v>
      </c>
      <c r="E2" t="s">
        <v>89</v>
      </c>
      <c r="F2">
        <v>18</v>
      </c>
      <c r="G2">
        <v>471.19999969999998</v>
      </c>
    </row>
    <row r="3" spans="1:7" x14ac:dyDescent="0.25">
      <c r="A3">
        <v>1</v>
      </c>
      <c r="B3" t="s">
        <v>19</v>
      </c>
      <c r="C3" t="s">
        <v>84</v>
      </c>
      <c r="D3">
        <v>1998</v>
      </c>
      <c r="E3" t="s">
        <v>91</v>
      </c>
      <c r="F3">
        <v>17</v>
      </c>
      <c r="G3">
        <v>845.79999989999999</v>
      </c>
    </row>
    <row r="4" spans="1:7" x14ac:dyDescent="0.25">
      <c r="A4">
        <v>3</v>
      </c>
      <c r="B4" t="s">
        <v>10</v>
      </c>
      <c r="C4" t="s">
        <v>84</v>
      </c>
      <c r="D4">
        <v>1998</v>
      </c>
      <c r="E4" t="s">
        <v>85</v>
      </c>
      <c r="F4">
        <v>60</v>
      </c>
      <c r="G4">
        <v>933.49999960000002</v>
      </c>
    </row>
    <row r="5" spans="1:7" x14ac:dyDescent="0.25">
      <c r="A5">
        <v>4</v>
      </c>
      <c r="B5" t="s">
        <v>19</v>
      </c>
      <c r="C5" t="s">
        <v>8</v>
      </c>
      <c r="D5">
        <v>1998</v>
      </c>
      <c r="E5" t="s">
        <v>89</v>
      </c>
      <c r="F5">
        <v>29</v>
      </c>
      <c r="G5">
        <v>514.4</v>
      </c>
    </row>
    <row r="6" spans="1:7" x14ac:dyDescent="0.25">
      <c r="A6">
        <v>3</v>
      </c>
      <c r="B6" t="s">
        <v>10</v>
      </c>
      <c r="C6" t="s">
        <v>11</v>
      </c>
      <c r="D6">
        <v>1998</v>
      </c>
      <c r="E6" t="s">
        <v>91</v>
      </c>
      <c r="F6">
        <v>40</v>
      </c>
      <c r="G6">
        <v>660</v>
      </c>
    </row>
    <row r="7" spans="1:7" x14ac:dyDescent="0.25">
      <c r="A7">
        <v>4</v>
      </c>
      <c r="B7" t="s">
        <v>19</v>
      </c>
      <c r="C7" t="s">
        <v>14</v>
      </c>
      <c r="D7">
        <v>1998</v>
      </c>
      <c r="E7" t="s">
        <v>88</v>
      </c>
      <c r="F7">
        <v>19</v>
      </c>
      <c r="G7">
        <v>282</v>
      </c>
    </row>
    <row r="8" spans="1:7" x14ac:dyDescent="0.25">
      <c r="A8">
        <v>9</v>
      </c>
      <c r="B8" t="s">
        <v>13</v>
      </c>
      <c r="C8" t="s">
        <v>14</v>
      </c>
      <c r="D8">
        <v>1998</v>
      </c>
      <c r="E8" t="s">
        <v>85</v>
      </c>
      <c r="F8">
        <v>31</v>
      </c>
      <c r="G8">
        <v>491.5</v>
      </c>
    </row>
    <row r="9" spans="1:7" x14ac:dyDescent="0.25">
      <c r="A9">
        <v>9</v>
      </c>
      <c r="B9" t="s">
        <v>13</v>
      </c>
      <c r="C9" t="s">
        <v>14</v>
      </c>
      <c r="D9">
        <v>1998</v>
      </c>
      <c r="E9" t="s">
        <v>89</v>
      </c>
      <c r="F9">
        <v>100</v>
      </c>
      <c r="G9">
        <v>4441.2499969999999</v>
      </c>
    </row>
    <row r="10" spans="1:7" x14ac:dyDescent="0.25">
      <c r="A10">
        <v>4</v>
      </c>
      <c r="B10" t="s">
        <v>19</v>
      </c>
      <c r="C10" t="s">
        <v>14</v>
      </c>
      <c r="D10">
        <v>1998</v>
      </c>
      <c r="E10" t="s">
        <v>89</v>
      </c>
      <c r="F10">
        <v>24</v>
      </c>
      <c r="G10">
        <v>390</v>
      </c>
    </row>
    <row r="11" spans="1:7" x14ac:dyDescent="0.25">
      <c r="A11">
        <v>3</v>
      </c>
      <c r="B11" t="s">
        <v>10</v>
      </c>
      <c r="C11" t="s">
        <v>16</v>
      </c>
      <c r="D11">
        <v>1998</v>
      </c>
      <c r="E11" t="s">
        <v>89</v>
      </c>
      <c r="F11">
        <v>4</v>
      </c>
      <c r="G11">
        <v>220</v>
      </c>
    </row>
    <row r="12" spans="1:7" x14ac:dyDescent="0.25">
      <c r="A12">
        <v>1</v>
      </c>
      <c r="B12" t="s">
        <v>19</v>
      </c>
      <c r="C12" t="s">
        <v>16</v>
      </c>
      <c r="D12">
        <v>1998</v>
      </c>
      <c r="E12" t="s">
        <v>85</v>
      </c>
      <c r="F12">
        <v>34</v>
      </c>
      <c r="G12">
        <v>1500</v>
      </c>
    </row>
    <row r="13" spans="1:7" x14ac:dyDescent="0.25">
      <c r="A13">
        <v>4</v>
      </c>
      <c r="B13" t="s">
        <v>19</v>
      </c>
      <c r="C13" t="s">
        <v>16</v>
      </c>
      <c r="D13">
        <v>1998</v>
      </c>
      <c r="E13" t="s">
        <v>89</v>
      </c>
      <c r="F13">
        <v>51</v>
      </c>
      <c r="G13">
        <v>711</v>
      </c>
    </row>
    <row r="14" spans="1:7" x14ac:dyDescent="0.25">
      <c r="A14">
        <v>9</v>
      </c>
      <c r="B14" t="s">
        <v>13</v>
      </c>
      <c r="C14" t="s">
        <v>18</v>
      </c>
      <c r="D14">
        <v>1998</v>
      </c>
      <c r="E14" t="s">
        <v>91</v>
      </c>
      <c r="F14">
        <v>92</v>
      </c>
      <c r="G14">
        <v>1064.5</v>
      </c>
    </row>
    <row r="15" spans="1:7" x14ac:dyDescent="0.25">
      <c r="A15">
        <v>4</v>
      </c>
      <c r="B15" t="s">
        <v>19</v>
      </c>
      <c r="C15" t="s">
        <v>18</v>
      </c>
      <c r="D15">
        <v>1998</v>
      </c>
      <c r="E15" t="s">
        <v>88</v>
      </c>
      <c r="F15">
        <v>61</v>
      </c>
      <c r="G15">
        <v>709.54999969999994</v>
      </c>
    </row>
    <row r="16" spans="1:7" x14ac:dyDescent="0.25">
      <c r="A16">
        <v>8</v>
      </c>
      <c r="B16" t="s">
        <v>13</v>
      </c>
      <c r="C16" t="s">
        <v>18</v>
      </c>
      <c r="D16">
        <v>1998</v>
      </c>
      <c r="E16" t="s">
        <v>91</v>
      </c>
      <c r="F16">
        <v>75</v>
      </c>
      <c r="G16">
        <v>2048.2125000000001</v>
      </c>
    </row>
    <row r="17" spans="1:7" x14ac:dyDescent="0.25">
      <c r="A17">
        <v>5</v>
      </c>
      <c r="B17" t="s">
        <v>19</v>
      </c>
      <c r="C17" t="s">
        <v>18</v>
      </c>
      <c r="D17">
        <v>1998</v>
      </c>
      <c r="E17" t="s">
        <v>88</v>
      </c>
      <c r="F17">
        <v>67</v>
      </c>
      <c r="G17">
        <v>1096.2</v>
      </c>
    </row>
    <row r="18" spans="1:7" x14ac:dyDescent="0.25">
      <c r="A18">
        <v>3</v>
      </c>
      <c r="B18" t="s">
        <v>10</v>
      </c>
      <c r="C18" t="s">
        <v>18</v>
      </c>
      <c r="D18">
        <v>1998</v>
      </c>
      <c r="E18" t="s">
        <v>89</v>
      </c>
      <c r="F18">
        <v>56</v>
      </c>
      <c r="G18">
        <v>1835.6999969999999</v>
      </c>
    </row>
    <row r="19" spans="1:7" x14ac:dyDescent="0.25">
      <c r="A19">
        <v>9</v>
      </c>
      <c r="B19" t="s">
        <v>13</v>
      </c>
      <c r="C19" t="s">
        <v>90</v>
      </c>
      <c r="D19">
        <v>1998</v>
      </c>
      <c r="E19" t="s">
        <v>91</v>
      </c>
      <c r="F19">
        <v>10</v>
      </c>
      <c r="G19">
        <v>625</v>
      </c>
    </row>
    <row r="20" spans="1:7" x14ac:dyDescent="0.25">
      <c r="A20">
        <v>6</v>
      </c>
      <c r="B20" t="s">
        <v>7</v>
      </c>
      <c r="C20" t="s">
        <v>90</v>
      </c>
      <c r="D20">
        <v>1998</v>
      </c>
      <c r="E20" t="s">
        <v>89</v>
      </c>
      <c r="F20">
        <v>34</v>
      </c>
      <c r="G20">
        <v>677</v>
      </c>
    </row>
    <row r="21" spans="1:7" x14ac:dyDescent="0.25">
      <c r="A21">
        <v>9</v>
      </c>
      <c r="B21" t="s">
        <v>13</v>
      </c>
      <c r="C21" t="s">
        <v>90</v>
      </c>
      <c r="D21">
        <v>1998</v>
      </c>
      <c r="E21" t="s">
        <v>85</v>
      </c>
      <c r="F21">
        <v>28</v>
      </c>
      <c r="G21">
        <v>858</v>
      </c>
    </row>
    <row r="22" spans="1:7" x14ac:dyDescent="0.25">
      <c r="A22">
        <v>6</v>
      </c>
      <c r="B22" t="s">
        <v>7</v>
      </c>
      <c r="C22" t="s">
        <v>20</v>
      </c>
      <c r="D22">
        <v>1998</v>
      </c>
      <c r="E22" t="s">
        <v>91</v>
      </c>
      <c r="F22">
        <v>50</v>
      </c>
      <c r="G22">
        <v>730</v>
      </c>
    </row>
    <row r="23" spans="1:7" x14ac:dyDescent="0.25">
      <c r="A23">
        <v>7</v>
      </c>
      <c r="B23" t="s">
        <v>7</v>
      </c>
      <c r="C23" t="s">
        <v>22</v>
      </c>
      <c r="D23">
        <v>1998</v>
      </c>
      <c r="E23" t="s">
        <v>88</v>
      </c>
      <c r="F23">
        <v>41</v>
      </c>
      <c r="G23">
        <v>917</v>
      </c>
    </row>
    <row r="24" spans="1:7" x14ac:dyDescent="0.25">
      <c r="A24">
        <v>8</v>
      </c>
      <c r="B24" t="s">
        <v>13</v>
      </c>
      <c r="C24" t="s">
        <v>22</v>
      </c>
      <c r="D24">
        <v>1998</v>
      </c>
      <c r="E24" t="s">
        <v>89</v>
      </c>
      <c r="F24">
        <v>108</v>
      </c>
      <c r="G24">
        <v>2148.6299979999999</v>
      </c>
    </row>
    <row r="25" spans="1:7" x14ac:dyDescent="0.25">
      <c r="A25">
        <v>9</v>
      </c>
      <c r="B25" t="s">
        <v>13</v>
      </c>
      <c r="C25" t="s">
        <v>22</v>
      </c>
      <c r="D25">
        <v>1998</v>
      </c>
      <c r="E25" t="s">
        <v>88</v>
      </c>
      <c r="F25">
        <v>78</v>
      </c>
      <c r="G25">
        <v>1979.229998</v>
      </c>
    </row>
    <row r="26" spans="1:7" x14ac:dyDescent="0.25">
      <c r="A26">
        <v>4</v>
      </c>
      <c r="B26" t="s">
        <v>19</v>
      </c>
      <c r="C26" t="s">
        <v>22</v>
      </c>
      <c r="D26">
        <v>1998</v>
      </c>
      <c r="E26" t="s">
        <v>87</v>
      </c>
      <c r="F26">
        <v>50</v>
      </c>
      <c r="G26">
        <v>792.75</v>
      </c>
    </row>
    <row r="27" spans="1:7" x14ac:dyDescent="0.25">
      <c r="A27">
        <v>1</v>
      </c>
      <c r="B27" t="s">
        <v>19</v>
      </c>
      <c r="C27" t="s">
        <v>22</v>
      </c>
      <c r="D27">
        <v>1998</v>
      </c>
      <c r="E27" t="s">
        <v>91</v>
      </c>
      <c r="F27">
        <v>36</v>
      </c>
      <c r="G27">
        <v>843</v>
      </c>
    </row>
    <row r="28" spans="1:7" x14ac:dyDescent="0.25">
      <c r="A28">
        <v>2</v>
      </c>
      <c r="B28" t="s">
        <v>19</v>
      </c>
      <c r="C28" t="s">
        <v>24</v>
      </c>
      <c r="D28">
        <v>1998</v>
      </c>
      <c r="E28" t="s">
        <v>89</v>
      </c>
      <c r="F28">
        <v>137</v>
      </c>
      <c r="G28">
        <v>5436</v>
      </c>
    </row>
    <row r="29" spans="1:7" x14ac:dyDescent="0.25">
      <c r="A29">
        <v>1</v>
      </c>
      <c r="B29" t="s">
        <v>19</v>
      </c>
      <c r="C29" t="s">
        <v>24</v>
      </c>
      <c r="D29">
        <v>1998</v>
      </c>
      <c r="E29" t="s">
        <v>89</v>
      </c>
      <c r="F29">
        <v>26</v>
      </c>
      <c r="G29">
        <v>717.5</v>
      </c>
    </row>
    <row r="30" spans="1:7" x14ac:dyDescent="0.25">
      <c r="A30">
        <v>1</v>
      </c>
      <c r="B30" t="s">
        <v>19</v>
      </c>
      <c r="C30" t="s">
        <v>24</v>
      </c>
      <c r="D30">
        <v>1998</v>
      </c>
      <c r="E30" t="s">
        <v>85</v>
      </c>
      <c r="F30">
        <v>51</v>
      </c>
      <c r="G30">
        <v>877.72500000000002</v>
      </c>
    </row>
    <row r="31" spans="1:7" x14ac:dyDescent="0.25">
      <c r="A31">
        <v>3</v>
      </c>
      <c r="B31" t="s">
        <v>10</v>
      </c>
      <c r="C31" t="s">
        <v>24</v>
      </c>
      <c r="D31">
        <v>1998</v>
      </c>
      <c r="E31" t="s">
        <v>89</v>
      </c>
      <c r="F31">
        <v>85</v>
      </c>
      <c r="G31">
        <v>1447.5</v>
      </c>
    </row>
    <row r="32" spans="1:7" x14ac:dyDescent="0.25">
      <c r="A32">
        <v>6</v>
      </c>
      <c r="B32" t="s">
        <v>7</v>
      </c>
      <c r="C32" t="s">
        <v>24</v>
      </c>
      <c r="D32">
        <v>1998</v>
      </c>
      <c r="E32" t="s">
        <v>85</v>
      </c>
      <c r="F32">
        <v>39</v>
      </c>
      <c r="G32">
        <v>1309.5</v>
      </c>
    </row>
    <row r="33" spans="1:7" x14ac:dyDescent="0.25">
      <c r="A33">
        <v>7</v>
      </c>
      <c r="B33" t="s">
        <v>7</v>
      </c>
      <c r="C33" t="s">
        <v>24</v>
      </c>
      <c r="D33">
        <v>1998</v>
      </c>
      <c r="E33" t="s">
        <v>85</v>
      </c>
      <c r="F33">
        <v>42</v>
      </c>
      <c r="G33">
        <v>525</v>
      </c>
    </row>
    <row r="34" spans="1:7" x14ac:dyDescent="0.25">
      <c r="A34">
        <v>6</v>
      </c>
      <c r="B34" t="s">
        <v>7</v>
      </c>
      <c r="C34" t="s">
        <v>24</v>
      </c>
      <c r="D34">
        <v>1998</v>
      </c>
      <c r="E34" t="s">
        <v>89</v>
      </c>
      <c r="F34">
        <v>41</v>
      </c>
      <c r="G34">
        <v>1025.325</v>
      </c>
    </row>
    <row r="35" spans="1:7" x14ac:dyDescent="0.25">
      <c r="A35">
        <v>9</v>
      </c>
      <c r="B35" t="s">
        <v>13</v>
      </c>
      <c r="C35" t="s">
        <v>25</v>
      </c>
      <c r="D35">
        <v>1998</v>
      </c>
      <c r="E35" t="s">
        <v>89</v>
      </c>
      <c r="F35">
        <v>40</v>
      </c>
      <c r="G35">
        <v>223.99999919999999</v>
      </c>
    </row>
    <row r="36" spans="1:7" x14ac:dyDescent="0.25">
      <c r="A36">
        <v>8</v>
      </c>
      <c r="B36" t="s">
        <v>13</v>
      </c>
      <c r="C36" t="s">
        <v>92</v>
      </c>
      <c r="D36">
        <v>1998</v>
      </c>
      <c r="E36" t="s">
        <v>85</v>
      </c>
      <c r="F36">
        <v>30</v>
      </c>
      <c r="G36">
        <v>305</v>
      </c>
    </row>
    <row r="37" spans="1:7" x14ac:dyDescent="0.25">
      <c r="A37">
        <v>4</v>
      </c>
      <c r="B37" t="s">
        <v>19</v>
      </c>
      <c r="C37" t="s">
        <v>92</v>
      </c>
      <c r="D37">
        <v>1998</v>
      </c>
      <c r="E37" t="s">
        <v>88</v>
      </c>
      <c r="F37">
        <v>10</v>
      </c>
      <c r="G37">
        <v>150</v>
      </c>
    </row>
    <row r="38" spans="1:7" x14ac:dyDescent="0.25">
      <c r="A38">
        <v>2</v>
      </c>
      <c r="B38" t="s">
        <v>19</v>
      </c>
      <c r="C38" t="s">
        <v>92</v>
      </c>
      <c r="D38">
        <v>1998</v>
      </c>
      <c r="E38" t="s">
        <v>91</v>
      </c>
      <c r="F38">
        <v>27</v>
      </c>
      <c r="G38">
        <v>477</v>
      </c>
    </row>
    <row r="39" spans="1:7" x14ac:dyDescent="0.25">
      <c r="A39">
        <v>7</v>
      </c>
      <c r="B39" t="s">
        <v>7</v>
      </c>
      <c r="C39" t="s">
        <v>92</v>
      </c>
      <c r="D39">
        <v>1998</v>
      </c>
      <c r="E39" t="s">
        <v>89</v>
      </c>
      <c r="F39">
        <v>28</v>
      </c>
      <c r="G39">
        <v>644.79999999999995</v>
      </c>
    </row>
    <row r="40" spans="1:7" x14ac:dyDescent="0.25">
      <c r="A40">
        <v>4</v>
      </c>
      <c r="B40" t="s">
        <v>19</v>
      </c>
      <c r="C40" t="s">
        <v>27</v>
      </c>
      <c r="D40">
        <v>1998</v>
      </c>
      <c r="E40" t="s">
        <v>89</v>
      </c>
      <c r="F40">
        <v>32</v>
      </c>
      <c r="G40">
        <v>1098.4599940000001</v>
      </c>
    </row>
    <row r="41" spans="1:7" x14ac:dyDescent="0.25">
      <c r="A41">
        <v>4</v>
      </c>
      <c r="B41" t="s">
        <v>19</v>
      </c>
      <c r="C41" t="s">
        <v>27</v>
      </c>
      <c r="D41">
        <v>1998</v>
      </c>
      <c r="E41" t="s">
        <v>85</v>
      </c>
      <c r="F41">
        <v>32</v>
      </c>
      <c r="G41">
        <v>1286.8</v>
      </c>
    </row>
    <row r="42" spans="1:7" x14ac:dyDescent="0.25">
      <c r="A42">
        <v>3</v>
      </c>
      <c r="B42" t="s">
        <v>10</v>
      </c>
      <c r="C42" t="s">
        <v>27</v>
      </c>
      <c r="D42">
        <v>1998</v>
      </c>
      <c r="E42" t="s">
        <v>85</v>
      </c>
      <c r="F42">
        <v>60</v>
      </c>
      <c r="G42">
        <v>1772.999998</v>
      </c>
    </row>
    <row r="43" spans="1:7" x14ac:dyDescent="0.25">
      <c r="A43">
        <v>1</v>
      </c>
      <c r="B43" t="s">
        <v>19</v>
      </c>
      <c r="C43" t="s">
        <v>28</v>
      </c>
      <c r="D43">
        <v>1998</v>
      </c>
      <c r="E43" t="s">
        <v>89</v>
      </c>
      <c r="F43">
        <v>9</v>
      </c>
      <c r="G43">
        <v>108</v>
      </c>
    </row>
    <row r="44" spans="1:7" x14ac:dyDescent="0.25">
      <c r="A44">
        <v>2</v>
      </c>
      <c r="B44" t="s">
        <v>19</v>
      </c>
      <c r="C44" t="s">
        <v>28</v>
      </c>
      <c r="D44">
        <v>1998</v>
      </c>
      <c r="E44" t="s">
        <v>85</v>
      </c>
      <c r="F44">
        <v>19</v>
      </c>
      <c r="G44">
        <v>405.75</v>
      </c>
    </row>
    <row r="45" spans="1:7" x14ac:dyDescent="0.25">
      <c r="A45">
        <v>7</v>
      </c>
      <c r="B45" t="s">
        <v>7</v>
      </c>
      <c r="C45" t="s">
        <v>93</v>
      </c>
      <c r="D45">
        <v>1998</v>
      </c>
      <c r="E45" t="s">
        <v>91</v>
      </c>
      <c r="F45">
        <v>33</v>
      </c>
      <c r="G45">
        <v>931.5</v>
      </c>
    </row>
    <row r="46" spans="1:7" x14ac:dyDescent="0.25">
      <c r="A46">
        <v>8</v>
      </c>
      <c r="B46" t="s">
        <v>13</v>
      </c>
      <c r="C46" t="s">
        <v>29</v>
      </c>
      <c r="D46">
        <v>1998</v>
      </c>
      <c r="E46" t="s">
        <v>85</v>
      </c>
      <c r="F46">
        <v>53</v>
      </c>
      <c r="G46">
        <v>1485.7999990000001</v>
      </c>
    </row>
    <row r="47" spans="1:7" x14ac:dyDescent="0.25">
      <c r="A47">
        <v>1</v>
      </c>
      <c r="B47" t="s">
        <v>19</v>
      </c>
      <c r="C47" t="s">
        <v>30</v>
      </c>
      <c r="D47">
        <v>1998</v>
      </c>
      <c r="E47" t="s">
        <v>87</v>
      </c>
      <c r="F47">
        <v>9</v>
      </c>
      <c r="G47">
        <v>86.85</v>
      </c>
    </row>
    <row r="48" spans="1:7" x14ac:dyDescent="0.25">
      <c r="A48">
        <v>1</v>
      </c>
      <c r="B48" t="s">
        <v>19</v>
      </c>
      <c r="C48" t="s">
        <v>30</v>
      </c>
      <c r="D48">
        <v>1998</v>
      </c>
      <c r="E48" t="s">
        <v>91</v>
      </c>
      <c r="F48">
        <v>32</v>
      </c>
      <c r="G48">
        <v>1030.76</v>
      </c>
    </row>
    <row r="49" spans="1:7" x14ac:dyDescent="0.25">
      <c r="A49">
        <v>8</v>
      </c>
      <c r="B49" t="s">
        <v>13</v>
      </c>
      <c r="C49" t="s">
        <v>30</v>
      </c>
      <c r="D49">
        <v>1998</v>
      </c>
      <c r="E49" t="s">
        <v>85</v>
      </c>
      <c r="F49">
        <v>37</v>
      </c>
      <c r="G49">
        <v>1692</v>
      </c>
    </row>
    <row r="50" spans="1:7" x14ac:dyDescent="0.25">
      <c r="A50">
        <v>7</v>
      </c>
      <c r="B50" t="s">
        <v>7</v>
      </c>
      <c r="C50" t="s">
        <v>31</v>
      </c>
      <c r="D50">
        <v>1998</v>
      </c>
      <c r="E50" t="s">
        <v>88</v>
      </c>
      <c r="F50">
        <v>39</v>
      </c>
      <c r="G50">
        <v>860.1</v>
      </c>
    </row>
    <row r="51" spans="1:7" x14ac:dyDescent="0.25">
      <c r="A51">
        <v>7</v>
      </c>
      <c r="B51" t="s">
        <v>7</v>
      </c>
      <c r="C51" t="s">
        <v>32</v>
      </c>
      <c r="D51">
        <v>1998</v>
      </c>
      <c r="E51" t="s">
        <v>85</v>
      </c>
      <c r="F51">
        <v>55</v>
      </c>
      <c r="G51">
        <v>817.875</v>
      </c>
    </row>
    <row r="52" spans="1:7" x14ac:dyDescent="0.25">
      <c r="A52">
        <v>8</v>
      </c>
      <c r="B52" t="s">
        <v>13</v>
      </c>
      <c r="C52" t="s">
        <v>32</v>
      </c>
      <c r="D52">
        <v>1998</v>
      </c>
      <c r="E52" t="s">
        <v>85</v>
      </c>
      <c r="F52">
        <v>125</v>
      </c>
      <c r="G52">
        <v>3740</v>
      </c>
    </row>
    <row r="53" spans="1:7" x14ac:dyDescent="0.25">
      <c r="A53">
        <v>8</v>
      </c>
      <c r="B53" t="s">
        <v>13</v>
      </c>
      <c r="C53" t="s">
        <v>32</v>
      </c>
      <c r="D53">
        <v>1998</v>
      </c>
      <c r="E53" t="s">
        <v>89</v>
      </c>
      <c r="F53">
        <v>86</v>
      </c>
      <c r="G53">
        <v>2772</v>
      </c>
    </row>
    <row r="54" spans="1:7" x14ac:dyDescent="0.25">
      <c r="A54">
        <v>4</v>
      </c>
      <c r="B54" t="s">
        <v>19</v>
      </c>
      <c r="C54" t="s">
        <v>32</v>
      </c>
      <c r="D54">
        <v>1998</v>
      </c>
      <c r="E54" t="s">
        <v>85</v>
      </c>
      <c r="F54">
        <v>113</v>
      </c>
      <c r="G54">
        <v>1966.81</v>
      </c>
    </row>
    <row r="55" spans="1:7" x14ac:dyDescent="0.25">
      <c r="A55">
        <v>7</v>
      </c>
      <c r="B55" t="s">
        <v>7</v>
      </c>
      <c r="C55" t="s">
        <v>33</v>
      </c>
      <c r="D55">
        <v>1998</v>
      </c>
      <c r="E55" t="s">
        <v>85</v>
      </c>
      <c r="F55">
        <v>181</v>
      </c>
      <c r="G55">
        <v>4680.8999970000004</v>
      </c>
    </row>
    <row r="56" spans="1:7" x14ac:dyDescent="0.25">
      <c r="A56">
        <v>7</v>
      </c>
      <c r="B56" t="s">
        <v>7</v>
      </c>
      <c r="C56" t="s">
        <v>33</v>
      </c>
      <c r="D56">
        <v>1998</v>
      </c>
      <c r="E56" t="s">
        <v>91</v>
      </c>
      <c r="F56">
        <v>172</v>
      </c>
      <c r="G56">
        <v>4705.5</v>
      </c>
    </row>
    <row r="57" spans="1:7" x14ac:dyDescent="0.25">
      <c r="A57">
        <v>4</v>
      </c>
      <c r="B57" t="s">
        <v>19</v>
      </c>
      <c r="C57" t="s">
        <v>33</v>
      </c>
      <c r="D57">
        <v>1998</v>
      </c>
      <c r="E57" t="s">
        <v>87</v>
      </c>
      <c r="F57">
        <v>200</v>
      </c>
      <c r="G57">
        <v>5218</v>
      </c>
    </row>
    <row r="58" spans="1:7" x14ac:dyDescent="0.25">
      <c r="A58">
        <v>2</v>
      </c>
      <c r="B58" t="s">
        <v>19</v>
      </c>
      <c r="C58" t="s">
        <v>33</v>
      </c>
      <c r="D58">
        <v>1998</v>
      </c>
      <c r="E58" t="s">
        <v>85</v>
      </c>
      <c r="F58">
        <v>256</v>
      </c>
      <c r="G58">
        <v>4288.8499739999997</v>
      </c>
    </row>
    <row r="59" spans="1:7" x14ac:dyDescent="0.25">
      <c r="A59">
        <v>3</v>
      </c>
      <c r="B59" t="s">
        <v>10</v>
      </c>
      <c r="C59" t="s">
        <v>33</v>
      </c>
      <c r="D59">
        <v>1998</v>
      </c>
      <c r="E59" t="s">
        <v>88</v>
      </c>
      <c r="F59">
        <v>346</v>
      </c>
      <c r="G59">
        <v>6379.4</v>
      </c>
    </row>
    <row r="60" spans="1:7" x14ac:dyDescent="0.25">
      <c r="A60">
        <v>3</v>
      </c>
      <c r="B60" t="s">
        <v>10</v>
      </c>
      <c r="C60" t="s">
        <v>33</v>
      </c>
      <c r="D60">
        <v>1998</v>
      </c>
      <c r="E60" t="s">
        <v>91</v>
      </c>
      <c r="F60">
        <v>165</v>
      </c>
      <c r="G60">
        <v>2966.4999790000002</v>
      </c>
    </row>
    <row r="61" spans="1:7" x14ac:dyDescent="0.25">
      <c r="A61">
        <v>9</v>
      </c>
      <c r="B61" t="s">
        <v>13</v>
      </c>
      <c r="C61" t="s">
        <v>33</v>
      </c>
      <c r="D61">
        <v>1998</v>
      </c>
      <c r="E61" t="s">
        <v>85</v>
      </c>
      <c r="F61">
        <v>165</v>
      </c>
      <c r="G61">
        <v>6750</v>
      </c>
    </row>
    <row r="62" spans="1:7" x14ac:dyDescent="0.25">
      <c r="A62">
        <v>1</v>
      </c>
      <c r="B62" t="s">
        <v>19</v>
      </c>
      <c r="C62" t="s">
        <v>33</v>
      </c>
      <c r="D62">
        <v>1998</v>
      </c>
      <c r="E62" t="s">
        <v>89</v>
      </c>
      <c r="F62">
        <v>64</v>
      </c>
      <c r="G62">
        <v>1408</v>
      </c>
    </row>
    <row r="63" spans="1:7" x14ac:dyDescent="0.25">
      <c r="A63">
        <v>8</v>
      </c>
      <c r="B63" t="s">
        <v>13</v>
      </c>
      <c r="C63" t="s">
        <v>33</v>
      </c>
      <c r="D63">
        <v>1998</v>
      </c>
      <c r="E63" t="s">
        <v>89</v>
      </c>
      <c r="F63">
        <v>207</v>
      </c>
      <c r="G63">
        <v>4813.5</v>
      </c>
    </row>
    <row r="64" spans="1:7" x14ac:dyDescent="0.25">
      <c r="A64">
        <v>7</v>
      </c>
      <c r="B64" t="s">
        <v>7</v>
      </c>
      <c r="C64" t="s">
        <v>35</v>
      </c>
      <c r="D64">
        <v>1998</v>
      </c>
      <c r="E64" t="s">
        <v>85</v>
      </c>
      <c r="F64">
        <v>85</v>
      </c>
      <c r="G64">
        <v>4895.4375</v>
      </c>
    </row>
    <row r="65" spans="1:7" x14ac:dyDescent="0.25">
      <c r="A65">
        <v>4</v>
      </c>
      <c r="B65" t="s">
        <v>19</v>
      </c>
      <c r="C65" t="s">
        <v>35</v>
      </c>
      <c r="D65">
        <v>1998</v>
      </c>
      <c r="E65" t="s">
        <v>89</v>
      </c>
      <c r="F65">
        <v>40</v>
      </c>
      <c r="G65">
        <v>247.9999991</v>
      </c>
    </row>
    <row r="66" spans="1:7" x14ac:dyDescent="0.25">
      <c r="A66">
        <v>7</v>
      </c>
      <c r="B66" t="s">
        <v>7</v>
      </c>
      <c r="C66" t="s">
        <v>35</v>
      </c>
      <c r="D66">
        <v>1998</v>
      </c>
      <c r="E66" t="s">
        <v>88</v>
      </c>
      <c r="F66">
        <v>110</v>
      </c>
      <c r="G66">
        <v>1499.999994</v>
      </c>
    </row>
    <row r="67" spans="1:7" x14ac:dyDescent="0.25">
      <c r="A67">
        <v>2</v>
      </c>
      <c r="B67" t="s">
        <v>19</v>
      </c>
      <c r="C67" t="s">
        <v>35</v>
      </c>
      <c r="D67">
        <v>1998</v>
      </c>
      <c r="E67" t="s">
        <v>85</v>
      </c>
      <c r="F67">
        <v>116</v>
      </c>
      <c r="G67">
        <v>2769</v>
      </c>
    </row>
    <row r="68" spans="1:7" x14ac:dyDescent="0.25">
      <c r="A68">
        <v>8</v>
      </c>
      <c r="B68" t="s">
        <v>13</v>
      </c>
      <c r="C68" t="s">
        <v>35</v>
      </c>
      <c r="D68">
        <v>1998</v>
      </c>
      <c r="E68" t="s">
        <v>85</v>
      </c>
      <c r="F68">
        <v>50</v>
      </c>
      <c r="G68">
        <v>809.99999869999999</v>
      </c>
    </row>
    <row r="69" spans="1:7" x14ac:dyDescent="0.25">
      <c r="A69">
        <v>1</v>
      </c>
      <c r="B69" t="s">
        <v>19</v>
      </c>
      <c r="C69" t="s">
        <v>35</v>
      </c>
      <c r="D69">
        <v>1998</v>
      </c>
      <c r="E69" t="s">
        <v>88</v>
      </c>
      <c r="F69">
        <v>36</v>
      </c>
      <c r="G69">
        <v>863.4299939</v>
      </c>
    </row>
    <row r="70" spans="1:7" x14ac:dyDescent="0.25">
      <c r="A70">
        <v>8</v>
      </c>
      <c r="B70" t="s">
        <v>13</v>
      </c>
      <c r="C70" t="s">
        <v>35</v>
      </c>
      <c r="D70">
        <v>1998</v>
      </c>
      <c r="E70" t="s">
        <v>89</v>
      </c>
      <c r="F70">
        <v>102</v>
      </c>
      <c r="G70">
        <v>2307.4</v>
      </c>
    </row>
    <row r="71" spans="1:7" x14ac:dyDescent="0.25">
      <c r="A71">
        <v>8</v>
      </c>
      <c r="B71" t="s">
        <v>13</v>
      </c>
      <c r="C71" t="s">
        <v>35</v>
      </c>
      <c r="D71">
        <v>1998</v>
      </c>
      <c r="E71" t="s">
        <v>91</v>
      </c>
      <c r="F71">
        <v>21</v>
      </c>
      <c r="G71">
        <v>250.8</v>
      </c>
    </row>
    <row r="72" spans="1:7" x14ac:dyDescent="0.25">
      <c r="A72">
        <v>2</v>
      </c>
      <c r="B72" t="s">
        <v>19</v>
      </c>
      <c r="C72" t="s">
        <v>95</v>
      </c>
      <c r="D72">
        <v>1998</v>
      </c>
      <c r="E72" t="s">
        <v>89</v>
      </c>
      <c r="F72">
        <v>14</v>
      </c>
      <c r="G72">
        <v>1733.06</v>
      </c>
    </row>
    <row r="73" spans="1:7" x14ac:dyDescent="0.25">
      <c r="A73">
        <v>3</v>
      </c>
      <c r="B73" t="s">
        <v>10</v>
      </c>
      <c r="C73" t="s">
        <v>95</v>
      </c>
      <c r="D73">
        <v>1998</v>
      </c>
      <c r="E73" t="s">
        <v>91</v>
      </c>
      <c r="F73">
        <v>23</v>
      </c>
      <c r="G73">
        <v>519</v>
      </c>
    </row>
    <row r="74" spans="1:7" x14ac:dyDescent="0.25">
      <c r="A74">
        <v>2</v>
      </c>
      <c r="B74" t="s">
        <v>19</v>
      </c>
      <c r="C74" t="s">
        <v>96</v>
      </c>
      <c r="D74">
        <v>1998</v>
      </c>
      <c r="E74" t="s">
        <v>85</v>
      </c>
      <c r="F74">
        <v>14</v>
      </c>
      <c r="G74">
        <v>266</v>
      </c>
    </row>
    <row r="75" spans="1:7" x14ac:dyDescent="0.25">
      <c r="A75">
        <v>4</v>
      </c>
      <c r="B75" t="s">
        <v>19</v>
      </c>
      <c r="C75" t="s">
        <v>96</v>
      </c>
      <c r="D75">
        <v>1998</v>
      </c>
      <c r="E75" t="s">
        <v>85</v>
      </c>
      <c r="F75">
        <v>18</v>
      </c>
      <c r="G75">
        <v>1030</v>
      </c>
    </row>
    <row r="76" spans="1:7" x14ac:dyDescent="0.25">
      <c r="A76">
        <v>1</v>
      </c>
      <c r="B76" t="s">
        <v>19</v>
      </c>
      <c r="C76" t="s">
        <v>36</v>
      </c>
      <c r="D76">
        <v>1998</v>
      </c>
      <c r="E76" t="s">
        <v>85</v>
      </c>
      <c r="F76">
        <v>146</v>
      </c>
      <c r="G76">
        <v>2825.299998</v>
      </c>
    </row>
    <row r="77" spans="1:7" x14ac:dyDescent="0.25">
      <c r="A77">
        <v>6</v>
      </c>
      <c r="B77" t="s">
        <v>7</v>
      </c>
      <c r="C77" t="s">
        <v>36</v>
      </c>
      <c r="D77">
        <v>1998</v>
      </c>
      <c r="E77" t="s">
        <v>89</v>
      </c>
      <c r="F77">
        <v>124</v>
      </c>
      <c r="G77">
        <v>1174.75</v>
      </c>
    </row>
    <row r="78" spans="1:7" x14ac:dyDescent="0.25">
      <c r="A78">
        <v>1</v>
      </c>
      <c r="B78" t="s">
        <v>19</v>
      </c>
      <c r="C78" t="s">
        <v>36</v>
      </c>
      <c r="D78">
        <v>1998</v>
      </c>
      <c r="E78" t="s">
        <v>91</v>
      </c>
      <c r="F78">
        <v>105</v>
      </c>
      <c r="G78">
        <v>1078.6875</v>
      </c>
    </row>
    <row r="79" spans="1:7" x14ac:dyDescent="0.25">
      <c r="A79">
        <v>9</v>
      </c>
      <c r="B79" t="s">
        <v>13</v>
      </c>
      <c r="C79" t="s">
        <v>37</v>
      </c>
      <c r="D79">
        <v>1998</v>
      </c>
      <c r="E79" t="s">
        <v>89</v>
      </c>
      <c r="F79">
        <v>2</v>
      </c>
      <c r="G79">
        <v>57.799999589999999</v>
      </c>
    </row>
    <row r="80" spans="1:7" x14ac:dyDescent="0.25">
      <c r="A80">
        <v>1</v>
      </c>
      <c r="B80" t="s">
        <v>19</v>
      </c>
      <c r="C80" t="s">
        <v>39</v>
      </c>
      <c r="D80">
        <v>1998</v>
      </c>
      <c r="E80" t="s">
        <v>89</v>
      </c>
      <c r="F80">
        <v>10</v>
      </c>
      <c r="G80">
        <v>137.5</v>
      </c>
    </row>
    <row r="81" spans="1:7" x14ac:dyDescent="0.25">
      <c r="A81">
        <v>8</v>
      </c>
      <c r="B81" t="s">
        <v>13</v>
      </c>
      <c r="C81" t="s">
        <v>39</v>
      </c>
      <c r="D81">
        <v>1998</v>
      </c>
      <c r="E81" t="s">
        <v>88</v>
      </c>
      <c r="F81">
        <v>5</v>
      </c>
      <c r="G81">
        <v>70</v>
      </c>
    </row>
    <row r="82" spans="1:7" x14ac:dyDescent="0.25">
      <c r="A82">
        <v>7</v>
      </c>
      <c r="B82" t="s">
        <v>7</v>
      </c>
      <c r="C82" t="s">
        <v>40</v>
      </c>
      <c r="D82">
        <v>1998</v>
      </c>
      <c r="E82" t="s">
        <v>85</v>
      </c>
      <c r="F82">
        <v>4</v>
      </c>
      <c r="G82">
        <v>60</v>
      </c>
    </row>
    <row r="83" spans="1:7" x14ac:dyDescent="0.25">
      <c r="A83">
        <v>3</v>
      </c>
      <c r="B83" t="s">
        <v>10</v>
      </c>
      <c r="C83" t="s">
        <v>40</v>
      </c>
      <c r="D83">
        <v>1998</v>
      </c>
      <c r="E83" t="s">
        <v>89</v>
      </c>
      <c r="F83">
        <v>53</v>
      </c>
      <c r="G83">
        <v>2362.25</v>
      </c>
    </row>
    <row r="84" spans="1:7" x14ac:dyDescent="0.25">
      <c r="A84">
        <v>3</v>
      </c>
      <c r="B84" t="s">
        <v>10</v>
      </c>
      <c r="C84" t="s">
        <v>40</v>
      </c>
      <c r="D84">
        <v>1998</v>
      </c>
      <c r="E84" t="s">
        <v>88</v>
      </c>
      <c r="F84">
        <v>37</v>
      </c>
      <c r="G84">
        <v>858</v>
      </c>
    </row>
    <row r="85" spans="1:7" x14ac:dyDescent="0.25">
      <c r="A85">
        <v>5</v>
      </c>
      <c r="B85" t="s">
        <v>19</v>
      </c>
      <c r="C85" t="s">
        <v>40</v>
      </c>
      <c r="D85">
        <v>1998</v>
      </c>
      <c r="E85" t="s">
        <v>88</v>
      </c>
      <c r="F85">
        <v>76</v>
      </c>
      <c r="G85">
        <v>2368.4599979999998</v>
      </c>
    </row>
    <row r="86" spans="1:7" x14ac:dyDescent="0.25">
      <c r="A86">
        <v>2</v>
      </c>
      <c r="B86" t="s">
        <v>19</v>
      </c>
      <c r="C86" t="s">
        <v>40</v>
      </c>
      <c r="D86">
        <v>1998</v>
      </c>
      <c r="E86" t="s">
        <v>85</v>
      </c>
      <c r="F86">
        <v>39</v>
      </c>
      <c r="G86">
        <v>616.5</v>
      </c>
    </row>
    <row r="87" spans="1:7" x14ac:dyDescent="0.25">
      <c r="A87">
        <v>1</v>
      </c>
      <c r="B87" t="s">
        <v>19</v>
      </c>
      <c r="C87" t="s">
        <v>40</v>
      </c>
      <c r="D87">
        <v>1998</v>
      </c>
      <c r="E87" t="s">
        <v>88</v>
      </c>
      <c r="F87">
        <v>38</v>
      </c>
      <c r="G87">
        <v>605</v>
      </c>
    </row>
    <row r="88" spans="1:7" x14ac:dyDescent="0.25">
      <c r="A88">
        <v>3</v>
      </c>
      <c r="B88" t="s">
        <v>10</v>
      </c>
      <c r="C88" t="s">
        <v>97</v>
      </c>
      <c r="D88">
        <v>1998</v>
      </c>
      <c r="E88" t="s">
        <v>85</v>
      </c>
      <c r="F88">
        <v>14</v>
      </c>
      <c r="G88">
        <v>273.59999900000003</v>
      </c>
    </row>
    <row r="89" spans="1:7" x14ac:dyDescent="0.25">
      <c r="A89">
        <v>6</v>
      </c>
      <c r="B89" t="s">
        <v>7</v>
      </c>
      <c r="C89" t="s">
        <v>97</v>
      </c>
      <c r="D89">
        <v>1998</v>
      </c>
      <c r="E89" t="s">
        <v>89</v>
      </c>
      <c r="F89">
        <v>20</v>
      </c>
      <c r="G89">
        <v>131.7499991</v>
      </c>
    </row>
    <row r="90" spans="1:7" x14ac:dyDescent="0.25">
      <c r="A90">
        <v>3</v>
      </c>
      <c r="B90" t="s">
        <v>10</v>
      </c>
      <c r="C90" t="s">
        <v>98</v>
      </c>
      <c r="D90">
        <v>1998</v>
      </c>
      <c r="E90" t="s">
        <v>89</v>
      </c>
      <c r="F90">
        <v>30</v>
      </c>
      <c r="G90">
        <v>455.99999830000002</v>
      </c>
    </row>
    <row r="91" spans="1:7" x14ac:dyDescent="0.25">
      <c r="A91">
        <v>3</v>
      </c>
      <c r="B91" t="s">
        <v>10</v>
      </c>
      <c r="C91" t="s">
        <v>98</v>
      </c>
      <c r="D91">
        <v>1998</v>
      </c>
      <c r="E91" t="s">
        <v>85</v>
      </c>
      <c r="F91">
        <v>10</v>
      </c>
      <c r="G91">
        <v>329.685</v>
      </c>
    </row>
    <row r="92" spans="1:7" x14ac:dyDescent="0.25">
      <c r="A92">
        <v>4</v>
      </c>
      <c r="B92" t="s">
        <v>19</v>
      </c>
      <c r="C92" t="s">
        <v>98</v>
      </c>
      <c r="D92">
        <v>1998</v>
      </c>
      <c r="E92" t="s">
        <v>85</v>
      </c>
      <c r="F92">
        <v>35</v>
      </c>
      <c r="G92">
        <v>710</v>
      </c>
    </row>
    <row r="93" spans="1:7" x14ac:dyDescent="0.25">
      <c r="A93">
        <v>4</v>
      </c>
      <c r="B93" t="s">
        <v>19</v>
      </c>
      <c r="C93" t="s">
        <v>98</v>
      </c>
      <c r="D93">
        <v>1998</v>
      </c>
      <c r="E93" t="s">
        <v>91</v>
      </c>
      <c r="F93">
        <v>50</v>
      </c>
      <c r="G93">
        <v>8446.4499930000002</v>
      </c>
    </row>
    <row r="94" spans="1:7" x14ac:dyDescent="0.25">
      <c r="A94">
        <v>7</v>
      </c>
      <c r="B94" t="s">
        <v>7</v>
      </c>
      <c r="C94" t="s">
        <v>41</v>
      </c>
      <c r="D94">
        <v>1998</v>
      </c>
      <c r="E94" t="s">
        <v>85</v>
      </c>
      <c r="F94">
        <v>70</v>
      </c>
      <c r="G94">
        <v>1727.5</v>
      </c>
    </row>
    <row r="95" spans="1:7" x14ac:dyDescent="0.25">
      <c r="A95">
        <v>1</v>
      </c>
      <c r="B95" t="s">
        <v>19</v>
      </c>
      <c r="C95" t="s">
        <v>41</v>
      </c>
      <c r="D95">
        <v>1998</v>
      </c>
      <c r="E95" t="s">
        <v>89</v>
      </c>
      <c r="F95">
        <v>20</v>
      </c>
      <c r="G95">
        <v>912</v>
      </c>
    </row>
    <row r="96" spans="1:7" x14ac:dyDescent="0.25">
      <c r="A96">
        <v>8</v>
      </c>
      <c r="B96" t="s">
        <v>13</v>
      </c>
      <c r="C96" t="s">
        <v>41</v>
      </c>
      <c r="D96">
        <v>1998</v>
      </c>
      <c r="E96" t="s">
        <v>89</v>
      </c>
      <c r="F96">
        <v>78</v>
      </c>
      <c r="G96">
        <v>1762.7</v>
      </c>
    </row>
    <row r="97" spans="1:7" x14ac:dyDescent="0.25">
      <c r="A97">
        <v>3</v>
      </c>
      <c r="B97" t="s">
        <v>10</v>
      </c>
      <c r="C97" t="s">
        <v>41</v>
      </c>
      <c r="D97">
        <v>1998</v>
      </c>
      <c r="E97" t="s">
        <v>89</v>
      </c>
      <c r="F97">
        <v>34</v>
      </c>
      <c r="G97">
        <v>265.35000000000002</v>
      </c>
    </row>
    <row r="98" spans="1:7" x14ac:dyDescent="0.25">
      <c r="A98">
        <v>4</v>
      </c>
      <c r="B98" t="s">
        <v>19</v>
      </c>
      <c r="C98" t="s">
        <v>41</v>
      </c>
      <c r="D98">
        <v>1998</v>
      </c>
      <c r="E98" t="s">
        <v>88</v>
      </c>
      <c r="F98">
        <v>92</v>
      </c>
      <c r="G98">
        <v>1375.649997</v>
      </c>
    </row>
    <row r="99" spans="1:7" x14ac:dyDescent="0.25">
      <c r="A99">
        <v>9</v>
      </c>
      <c r="B99" t="s">
        <v>13</v>
      </c>
      <c r="C99" t="s">
        <v>42</v>
      </c>
      <c r="D99">
        <v>1998</v>
      </c>
      <c r="E99" t="s">
        <v>85</v>
      </c>
      <c r="F99">
        <v>65</v>
      </c>
      <c r="G99">
        <v>1402</v>
      </c>
    </row>
    <row r="100" spans="1:7" x14ac:dyDescent="0.25">
      <c r="A100">
        <v>1</v>
      </c>
      <c r="B100" t="s">
        <v>19</v>
      </c>
      <c r="C100" t="s">
        <v>42</v>
      </c>
      <c r="D100">
        <v>1998</v>
      </c>
      <c r="E100" t="s">
        <v>89</v>
      </c>
      <c r="F100">
        <v>60</v>
      </c>
      <c r="G100">
        <v>15810</v>
      </c>
    </row>
    <row r="101" spans="1:7" x14ac:dyDescent="0.25">
      <c r="A101">
        <v>3</v>
      </c>
      <c r="B101" t="s">
        <v>10</v>
      </c>
      <c r="C101" t="s">
        <v>42</v>
      </c>
      <c r="D101">
        <v>1998</v>
      </c>
      <c r="E101" t="s">
        <v>89</v>
      </c>
      <c r="F101">
        <v>37</v>
      </c>
      <c r="G101">
        <v>475.14999669999997</v>
      </c>
    </row>
    <row r="102" spans="1:7" x14ac:dyDescent="0.25">
      <c r="A102">
        <v>3</v>
      </c>
      <c r="B102" t="s">
        <v>10</v>
      </c>
      <c r="C102" t="s">
        <v>42</v>
      </c>
      <c r="D102">
        <v>1998</v>
      </c>
      <c r="E102" t="s">
        <v>85</v>
      </c>
      <c r="F102">
        <v>40</v>
      </c>
      <c r="G102">
        <v>1331.9999949999999</v>
      </c>
    </row>
    <row r="103" spans="1:7" x14ac:dyDescent="0.25">
      <c r="A103">
        <v>1</v>
      </c>
      <c r="B103" t="s">
        <v>19</v>
      </c>
      <c r="C103" t="s">
        <v>42</v>
      </c>
      <c r="D103">
        <v>1998</v>
      </c>
      <c r="E103" t="s">
        <v>88</v>
      </c>
      <c r="F103">
        <v>145</v>
      </c>
      <c r="G103">
        <v>3127.5</v>
      </c>
    </row>
    <row r="104" spans="1:7" x14ac:dyDescent="0.25">
      <c r="A104">
        <v>5</v>
      </c>
      <c r="B104" t="s">
        <v>19</v>
      </c>
      <c r="C104" t="s">
        <v>42</v>
      </c>
      <c r="D104">
        <v>1998</v>
      </c>
      <c r="E104" t="s">
        <v>89</v>
      </c>
      <c r="F104">
        <v>50</v>
      </c>
      <c r="G104">
        <v>742.5</v>
      </c>
    </row>
    <row r="105" spans="1:7" x14ac:dyDescent="0.25">
      <c r="A105">
        <v>3</v>
      </c>
      <c r="B105" t="s">
        <v>10</v>
      </c>
      <c r="C105" t="s">
        <v>42</v>
      </c>
      <c r="D105">
        <v>1998</v>
      </c>
      <c r="E105" t="s">
        <v>88</v>
      </c>
      <c r="F105">
        <v>81</v>
      </c>
      <c r="G105">
        <v>932.05</v>
      </c>
    </row>
    <row r="106" spans="1:7" x14ac:dyDescent="0.25">
      <c r="A106">
        <v>3</v>
      </c>
      <c r="B106" t="s">
        <v>10</v>
      </c>
      <c r="C106" t="s">
        <v>44</v>
      </c>
      <c r="D106">
        <v>1998</v>
      </c>
      <c r="E106" t="s">
        <v>88</v>
      </c>
      <c r="F106">
        <v>116</v>
      </c>
      <c r="G106">
        <v>10835.24</v>
      </c>
    </row>
    <row r="107" spans="1:7" x14ac:dyDescent="0.25">
      <c r="A107">
        <v>2</v>
      </c>
      <c r="B107" t="s">
        <v>19</v>
      </c>
      <c r="C107" t="s">
        <v>44</v>
      </c>
      <c r="D107">
        <v>1998</v>
      </c>
      <c r="E107" t="s">
        <v>89</v>
      </c>
      <c r="F107">
        <v>79</v>
      </c>
      <c r="G107">
        <v>2023.379997</v>
      </c>
    </row>
    <row r="108" spans="1:7" x14ac:dyDescent="0.25">
      <c r="A108">
        <v>2</v>
      </c>
      <c r="B108" t="s">
        <v>19</v>
      </c>
      <c r="C108" t="s">
        <v>44</v>
      </c>
      <c r="D108">
        <v>1998</v>
      </c>
      <c r="E108" t="s">
        <v>88</v>
      </c>
      <c r="F108">
        <v>100</v>
      </c>
      <c r="G108">
        <v>6200.55</v>
      </c>
    </row>
    <row r="109" spans="1:7" x14ac:dyDescent="0.25">
      <c r="A109">
        <v>3</v>
      </c>
      <c r="B109" t="s">
        <v>10</v>
      </c>
      <c r="C109" t="s">
        <v>44</v>
      </c>
      <c r="D109">
        <v>1998</v>
      </c>
      <c r="E109" t="s">
        <v>85</v>
      </c>
      <c r="F109">
        <v>100</v>
      </c>
      <c r="G109">
        <v>1342.9499980000001</v>
      </c>
    </row>
    <row r="110" spans="1:7" x14ac:dyDescent="0.25">
      <c r="A110">
        <v>9</v>
      </c>
      <c r="B110" t="s">
        <v>13</v>
      </c>
      <c r="C110" t="s">
        <v>45</v>
      </c>
      <c r="D110">
        <v>1998</v>
      </c>
      <c r="E110" t="s">
        <v>91</v>
      </c>
      <c r="F110">
        <v>61</v>
      </c>
      <c r="G110">
        <v>1764</v>
      </c>
    </row>
    <row r="111" spans="1:7" x14ac:dyDescent="0.25">
      <c r="A111">
        <v>6</v>
      </c>
      <c r="B111" t="s">
        <v>7</v>
      </c>
      <c r="C111" t="s">
        <v>45</v>
      </c>
      <c r="D111">
        <v>1998</v>
      </c>
      <c r="E111" t="s">
        <v>89</v>
      </c>
      <c r="F111">
        <v>32</v>
      </c>
      <c r="G111">
        <v>920.6</v>
      </c>
    </row>
    <row r="112" spans="1:7" x14ac:dyDescent="0.25">
      <c r="A112">
        <v>3</v>
      </c>
      <c r="B112" t="s">
        <v>10</v>
      </c>
      <c r="C112" t="s">
        <v>46</v>
      </c>
      <c r="D112">
        <v>1998</v>
      </c>
      <c r="E112" t="s">
        <v>91</v>
      </c>
      <c r="F112">
        <v>155</v>
      </c>
      <c r="G112">
        <v>10952.84498</v>
      </c>
    </row>
    <row r="113" spans="1:7" x14ac:dyDescent="0.25">
      <c r="A113">
        <v>2</v>
      </c>
      <c r="B113" t="s">
        <v>19</v>
      </c>
      <c r="C113" t="s">
        <v>46</v>
      </c>
      <c r="D113">
        <v>1998</v>
      </c>
      <c r="E113" t="s">
        <v>85</v>
      </c>
      <c r="F113">
        <v>59</v>
      </c>
      <c r="G113">
        <v>2160</v>
      </c>
    </row>
    <row r="114" spans="1:7" x14ac:dyDescent="0.25">
      <c r="A114">
        <v>9</v>
      </c>
      <c r="B114" t="s">
        <v>13</v>
      </c>
      <c r="C114" t="s">
        <v>46</v>
      </c>
      <c r="D114">
        <v>1998</v>
      </c>
      <c r="E114" t="s">
        <v>91</v>
      </c>
      <c r="F114">
        <v>67</v>
      </c>
      <c r="G114">
        <v>967.81899659999999</v>
      </c>
    </row>
    <row r="115" spans="1:7" x14ac:dyDescent="0.25">
      <c r="A115">
        <v>9</v>
      </c>
      <c r="B115" t="s">
        <v>13</v>
      </c>
      <c r="C115" t="s">
        <v>46</v>
      </c>
      <c r="D115">
        <v>1998</v>
      </c>
      <c r="E115" t="s">
        <v>88</v>
      </c>
      <c r="F115">
        <v>119</v>
      </c>
      <c r="G115">
        <v>5502.11</v>
      </c>
    </row>
    <row r="116" spans="1:7" x14ac:dyDescent="0.25">
      <c r="A116">
        <v>8</v>
      </c>
      <c r="B116" t="s">
        <v>13</v>
      </c>
      <c r="C116" t="s">
        <v>47</v>
      </c>
      <c r="D116">
        <v>1998</v>
      </c>
      <c r="E116" t="s">
        <v>87</v>
      </c>
      <c r="F116">
        <v>24</v>
      </c>
      <c r="G116">
        <v>189.42</v>
      </c>
    </row>
    <row r="117" spans="1:7" x14ac:dyDescent="0.25">
      <c r="A117">
        <v>8</v>
      </c>
      <c r="B117" t="s">
        <v>13</v>
      </c>
      <c r="C117" t="s">
        <v>47</v>
      </c>
      <c r="D117">
        <v>1998</v>
      </c>
      <c r="E117" t="s">
        <v>85</v>
      </c>
      <c r="F117">
        <v>90</v>
      </c>
      <c r="G117">
        <v>1885</v>
      </c>
    </row>
    <row r="118" spans="1:7" x14ac:dyDescent="0.25">
      <c r="A118">
        <v>1</v>
      </c>
      <c r="B118" t="s">
        <v>19</v>
      </c>
      <c r="C118" t="s">
        <v>47</v>
      </c>
      <c r="D118">
        <v>1998</v>
      </c>
      <c r="E118" t="s">
        <v>87</v>
      </c>
      <c r="F118">
        <v>25</v>
      </c>
      <c r="G118">
        <v>484.49999960000002</v>
      </c>
    </row>
    <row r="119" spans="1:7" x14ac:dyDescent="0.25">
      <c r="A119">
        <v>5</v>
      </c>
      <c r="B119" t="s">
        <v>19</v>
      </c>
      <c r="C119" t="s">
        <v>47</v>
      </c>
      <c r="D119">
        <v>1998</v>
      </c>
      <c r="E119" t="s">
        <v>88</v>
      </c>
      <c r="F119">
        <v>8</v>
      </c>
      <c r="G119">
        <v>122.3999991</v>
      </c>
    </row>
    <row r="120" spans="1:7" x14ac:dyDescent="0.25">
      <c r="A120">
        <v>5</v>
      </c>
      <c r="B120" t="s">
        <v>19</v>
      </c>
      <c r="C120" t="s">
        <v>47</v>
      </c>
      <c r="D120">
        <v>1998</v>
      </c>
      <c r="E120" t="s">
        <v>91</v>
      </c>
      <c r="F120">
        <v>90</v>
      </c>
      <c r="G120">
        <v>2825.999996</v>
      </c>
    </row>
    <row r="121" spans="1:7" x14ac:dyDescent="0.25">
      <c r="A121">
        <v>3</v>
      </c>
      <c r="B121" t="s">
        <v>10</v>
      </c>
      <c r="C121" t="s">
        <v>99</v>
      </c>
      <c r="D121">
        <v>1998</v>
      </c>
      <c r="E121" t="s">
        <v>91</v>
      </c>
      <c r="F121">
        <v>79</v>
      </c>
      <c r="G121">
        <v>1938.375</v>
      </c>
    </row>
    <row r="122" spans="1:7" x14ac:dyDescent="0.25">
      <c r="A122">
        <v>8</v>
      </c>
      <c r="B122" t="s">
        <v>13</v>
      </c>
      <c r="C122" t="s">
        <v>99</v>
      </c>
      <c r="D122">
        <v>1998</v>
      </c>
      <c r="E122" t="s">
        <v>91</v>
      </c>
      <c r="F122">
        <v>63</v>
      </c>
      <c r="G122">
        <v>852</v>
      </c>
    </row>
    <row r="123" spans="1:7" x14ac:dyDescent="0.25">
      <c r="A123">
        <v>4</v>
      </c>
      <c r="B123" t="s">
        <v>19</v>
      </c>
      <c r="C123" t="s">
        <v>99</v>
      </c>
      <c r="D123">
        <v>1998</v>
      </c>
      <c r="E123" t="s">
        <v>91</v>
      </c>
      <c r="F123">
        <v>16</v>
      </c>
      <c r="G123">
        <v>211.19999920000001</v>
      </c>
    </row>
    <row r="124" spans="1:7" x14ac:dyDescent="0.25">
      <c r="A124">
        <v>1</v>
      </c>
      <c r="B124" t="s">
        <v>19</v>
      </c>
      <c r="C124" t="s">
        <v>99</v>
      </c>
      <c r="D124">
        <v>1998</v>
      </c>
      <c r="E124" t="s">
        <v>85</v>
      </c>
      <c r="F124">
        <v>132</v>
      </c>
      <c r="G124">
        <v>3090</v>
      </c>
    </row>
    <row r="125" spans="1:7" x14ac:dyDescent="0.25">
      <c r="A125">
        <v>2</v>
      </c>
      <c r="B125" t="s">
        <v>19</v>
      </c>
      <c r="C125" t="s">
        <v>99</v>
      </c>
      <c r="D125">
        <v>1998</v>
      </c>
      <c r="E125" t="s">
        <v>85</v>
      </c>
      <c r="F125">
        <v>28</v>
      </c>
      <c r="G125">
        <v>243.1799996</v>
      </c>
    </row>
    <row r="126" spans="1:7" x14ac:dyDescent="0.25">
      <c r="A126">
        <v>5</v>
      </c>
      <c r="B126" t="s">
        <v>19</v>
      </c>
      <c r="C126" t="s">
        <v>99</v>
      </c>
      <c r="D126">
        <v>1998</v>
      </c>
      <c r="E126" t="s">
        <v>89</v>
      </c>
      <c r="F126">
        <v>107</v>
      </c>
      <c r="G126">
        <v>1659.5349900000001</v>
      </c>
    </row>
    <row r="127" spans="1:7" x14ac:dyDescent="0.25">
      <c r="A127">
        <v>2</v>
      </c>
      <c r="B127" t="s">
        <v>19</v>
      </c>
      <c r="C127" t="s">
        <v>99</v>
      </c>
      <c r="D127">
        <v>1998</v>
      </c>
      <c r="E127" t="s">
        <v>89</v>
      </c>
      <c r="F127">
        <v>68</v>
      </c>
      <c r="G127">
        <v>1122.8</v>
      </c>
    </row>
    <row r="128" spans="1:7" x14ac:dyDescent="0.25">
      <c r="A128">
        <v>4</v>
      </c>
      <c r="B128" t="s">
        <v>19</v>
      </c>
      <c r="C128" t="s">
        <v>111</v>
      </c>
      <c r="D128">
        <v>1998</v>
      </c>
      <c r="E128" t="s">
        <v>89</v>
      </c>
      <c r="F128">
        <v>43</v>
      </c>
      <c r="G128">
        <v>1051.5</v>
      </c>
    </row>
    <row r="129" spans="1:7" x14ac:dyDescent="0.25">
      <c r="A129">
        <v>6</v>
      </c>
      <c r="B129" t="s">
        <v>7</v>
      </c>
      <c r="C129" t="s">
        <v>111</v>
      </c>
      <c r="D129">
        <v>1998</v>
      </c>
      <c r="E129" t="s">
        <v>89</v>
      </c>
      <c r="F129">
        <v>21</v>
      </c>
      <c r="G129">
        <v>291.55</v>
      </c>
    </row>
    <row r="130" spans="1:7" x14ac:dyDescent="0.25">
      <c r="A130">
        <v>2</v>
      </c>
      <c r="B130" t="s">
        <v>19</v>
      </c>
      <c r="C130" t="s">
        <v>111</v>
      </c>
      <c r="D130">
        <v>1998</v>
      </c>
      <c r="E130" t="s">
        <v>91</v>
      </c>
      <c r="F130">
        <v>19</v>
      </c>
      <c r="G130">
        <v>649</v>
      </c>
    </row>
    <row r="131" spans="1:7" x14ac:dyDescent="0.25">
      <c r="A131">
        <v>7</v>
      </c>
      <c r="B131" t="s">
        <v>7</v>
      </c>
      <c r="C131" t="s">
        <v>48</v>
      </c>
      <c r="D131">
        <v>1998</v>
      </c>
      <c r="E131" t="s">
        <v>89</v>
      </c>
      <c r="F131">
        <v>44</v>
      </c>
      <c r="G131">
        <v>748.79999720000001</v>
      </c>
    </row>
    <row r="132" spans="1:7" x14ac:dyDescent="0.25">
      <c r="A132">
        <v>2</v>
      </c>
      <c r="B132" t="s">
        <v>19</v>
      </c>
      <c r="C132" t="s">
        <v>48</v>
      </c>
      <c r="D132">
        <v>1998</v>
      </c>
      <c r="E132" t="s">
        <v>91</v>
      </c>
      <c r="F132">
        <v>32</v>
      </c>
      <c r="G132">
        <v>475.10999859999998</v>
      </c>
    </row>
    <row r="133" spans="1:7" x14ac:dyDescent="0.25">
      <c r="A133">
        <v>7</v>
      </c>
      <c r="B133" t="s">
        <v>7</v>
      </c>
      <c r="C133" t="s">
        <v>48</v>
      </c>
      <c r="D133">
        <v>1998</v>
      </c>
      <c r="E133" t="s">
        <v>85</v>
      </c>
      <c r="F133">
        <v>10</v>
      </c>
      <c r="G133">
        <v>35.999999870000003</v>
      </c>
    </row>
    <row r="134" spans="1:7" x14ac:dyDescent="0.25">
      <c r="A134">
        <v>2</v>
      </c>
      <c r="B134" t="s">
        <v>19</v>
      </c>
      <c r="C134" t="s">
        <v>100</v>
      </c>
      <c r="D134">
        <v>1998</v>
      </c>
      <c r="E134" t="s">
        <v>91</v>
      </c>
      <c r="F134">
        <v>17</v>
      </c>
      <c r="G134">
        <v>187</v>
      </c>
    </row>
    <row r="135" spans="1:7" x14ac:dyDescent="0.25">
      <c r="A135">
        <v>2</v>
      </c>
      <c r="B135" t="s">
        <v>19</v>
      </c>
      <c r="C135" t="s">
        <v>49</v>
      </c>
      <c r="D135">
        <v>1998</v>
      </c>
      <c r="E135" t="s">
        <v>87</v>
      </c>
      <c r="F135">
        <v>110</v>
      </c>
      <c r="G135">
        <v>1629.9749899999999</v>
      </c>
    </row>
    <row r="136" spans="1:7" x14ac:dyDescent="0.25">
      <c r="A136">
        <v>7</v>
      </c>
      <c r="B136" t="s">
        <v>7</v>
      </c>
      <c r="C136" t="s">
        <v>49</v>
      </c>
      <c r="D136">
        <v>1998</v>
      </c>
      <c r="E136" t="s">
        <v>88</v>
      </c>
      <c r="F136">
        <v>15</v>
      </c>
      <c r="G136">
        <v>368.93249969999999</v>
      </c>
    </row>
    <row r="137" spans="1:7" x14ac:dyDescent="0.25">
      <c r="A137">
        <v>8</v>
      </c>
      <c r="B137" t="s">
        <v>13</v>
      </c>
      <c r="C137" t="s">
        <v>49</v>
      </c>
      <c r="D137">
        <v>1998</v>
      </c>
      <c r="E137" t="s">
        <v>91</v>
      </c>
      <c r="F137">
        <v>33</v>
      </c>
      <c r="G137">
        <v>581</v>
      </c>
    </row>
    <row r="138" spans="1:7" x14ac:dyDescent="0.25">
      <c r="A138">
        <v>3</v>
      </c>
      <c r="B138" t="s">
        <v>10</v>
      </c>
      <c r="C138" t="s">
        <v>49</v>
      </c>
      <c r="D138">
        <v>1998</v>
      </c>
      <c r="E138" t="s">
        <v>89</v>
      </c>
      <c r="F138">
        <v>20</v>
      </c>
      <c r="G138">
        <v>500</v>
      </c>
    </row>
    <row r="139" spans="1:7" x14ac:dyDescent="0.25">
      <c r="A139">
        <v>4</v>
      </c>
      <c r="B139" t="s">
        <v>19</v>
      </c>
      <c r="C139" t="s">
        <v>102</v>
      </c>
      <c r="D139">
        <v>1998</v>
      </c>
      <c r="E139" t="s">
        <v>88</v>
      </c>
      <c r="F139">
        <v>73</v>
      </c>
      <c r="G139">
        <v>1378.0699990000001</v>
      </c>
    </row>
    <row r="140" spans="1:7" x14ac:dyDescent="0.25">
      <c r="A140">
        <v>6</v>
      </c>
      <c r="B140" t="s">
        <v>7</v>
      </c>
      <c r="C140" t="s">
        <v>50</v>
      </c>
      <c r="D140">
        <v>1998</v>
      </c>
      <c r="E140" t="s">
        <v>88</v>
      </c>
      <c r="F140">
        <v>3</v>
      </c>
      <c r="G140">
        <v>98.4</v>
      </c>
    </row>
    <row r="141" spans="1:7" x14ac:dyDescent="0.25">
      <c r="A141">
        <v>4</v>
      </c>
      <c r="B141" t="s">
        <v>19</v>
      </c>
      <c r="C141" t="s">
        <v>50</v>
      </c>
      <c r="D141">
        <v>1998</v>
      </c>
      <c r="E141" t="s">
        <v>85</v>
      </c>
      <c r="F141">
        <v>35</v>
      </c>
      <c r="G141">
        <v>1575</v>
      </c>
    </row>
    <row r="142" spans="1:7" x14ac:dyDescent="0.25">
      <c r="A142">
        <v>8</v>
      </c>
      <c r="B142" t="s">
        <v>13</v>
      </c>
      <c r="C142" t="s">
        <v>50</v>
      </c>
      <c r="D142">
        <v>1998</v>
      </c>
      <c r="E142" t="s">
        <v>88</v>
      </c>
      <c r="F142">
        <v>8</v>
      </c>
      <c r="G142">
        <v>36</v>
      </c>
    </row>
    <row r="143" spans="1:7" x14ac:dyDescent="0.25">
      <c r="A143">
        <v>7</v>
      </c>
      <c r="B143" t="s">
        <v>7</v>
      </c>
      <c r="C143" t="s">
        <v>51</v>
      </c>
      <c r="D143">
        <v>1998</v>
      </c>
      <c r="E143" t="s">
        <v>91</v>
      </c>
      <c r="F143">
        <v>40</v>
      </c>
      <c r="G143">
        <v>833</v>
      </c>
    </row>
    <row r="144" spans="1:7" x14ac:dyDescent="0.25">
      <c r="A144">
        <v>2</v>
      </c>
      <c r="B144" t="s">
        <v>19</v>
      </c>
      <c r="C144" t="s">
        <v>51</v>
      </c>
      <c r="D144">
        <v>1998</v>
      </c>
      <c r="E144" t="s">
        <v>89</v>
      </c>
      <c r="F144">
        <v>50</v>
      </c>
      <c r="G144">
        <v>637.49999549999995</v>
      </c>
    </row>
    <row r="145" spans="1:7" x14ac:dyDescent="0.25">
      <c r="A145">
        <v>1</v>
      </c>
      <c r="B145" t="s">
        <v>19</v>
      </c>
      <c r="C145" t="s">
        <v>51</v>
      </c>
      <c r="D145">
        <v>1998</v>
      </c>
      <c r="E145" t="s">
        <v>89</v>
      </c>
      <c r="F145">
        <v>5</v>
      </c>
      <c r="G145">
        <v>110</v>
      </c>
    </row>
    <row r="146" spans="1:7" x14ac:dyDescent="0.25">
      <c r="A146">
        <v>4</v>
      </c>
      <c r="B146" t="s">
        <v>19</v>
      </c>
      <c r="C146" t="s">
        <v>103</v>
      </c>
      <c r="D146">
        <v>1998</v>
      </c>
      <c r="E146" t="s">
        <v>88</v>
      </c>
      <c r="F146">
        <v>40</v>
      </c>
      <c r="G146">
        <v>2089.9999979999998</v>
      </c>
    </row>
    <row r="147" spans="1:7" x14ac:dyDescent="0.25">
      <c r="A147">
        <v>3</v>
      </c>
      <c r="B147" t="s">
        <v>10</v>
      </c>
      <c r="C147" t="s">
        <v>103</v>
      </c>
      <c r="D147">
        <v>1998</v>
      </c>
      <c r="E147" t="s">
        <v>85</v>
      </c>
      <c r="F147">
        <v>12</v>
      </c>
      <c r="G147">
        <v>295.38</v>
      </c>
    </row>
    <row r="148" spans="1:7" x14ac:dyDescent="0.25">
      <c r="A148">
        <v>9</v>
      </c>
      <c r="B148" t="s">
        <v>13</v>
      </c>
      <c r="C148" t="s">
        <v>103</v>
      </c>
      <c r="D148">
        <v>1998</v>
      </c>
      <c r="E148" t="s">
        <v>89</v>
      </c>
      <c r="F148">
        <v>76</v>
      </c>
      <c r="G148">
        <v>1303.194992</v>
      </c>
    </row>
    <row r="149" spans="1:7" x14ac:dyDescent="0.25">
      <c r="A149">
        <v>7</v>
      </c>
      <c r="B149" t="s">
        <v>7</v>
      </c>
      <c r="C149" t="s">
        <v>103</v>
      </c>
      <c r="D149">
        <v>1998</v>
      </c>
      <c r="E149" t="s">
        <v>88</v>
      </c>
      <c r="F149">
        <v>31</v>
      </c>
      <c r="G149">
        <v>750.5</v>
      </c>
    </row>
    <row r="150" spans="1:7" x14ac:dyDescent="0.25">
      <c r="A150">
        <v>4</v>
      </c>
      <c r="B150" t="s">
        <v>19</v>
      </c>
      <c r="C150" t="s">
        <v>52</v>
      </c>
      <c r="D150">
        <v>1998</v>
      </c>
      <c r="E150" t="s">
        <v>89</v>
      </c>
      <c r="F150">
        <v>30</v>
      </c>
      <c r="G150">
        <v>245</v>
      </c>
    </row>
    <row r="151" spans="1:7" x14ac:dyDescent="0.25">
      <c r="A151">
        <v>3</v>
      </c>
      <c r="B151" t="s">
        <v>10</v>
      </c>
      <c r="C151" t="s">
        <v>104</v>
      </c>
      <c r="D151">
        <v>1998</v>
      </c>
      <c r="E151" t="s">
        <v>85</v>
      </c>
      <c r="F151">
        <v>3</v>
      </c>
      <c r="G151">
        <v>45</v>
      </c>
    </row>
    <row r="152" spans="1:7" x14ac:dyDescent="0.25">
      <c r="A152">
        <v>4</v>
      </c>
      <c r="B152" t="s">
        <v>19</v>
      </c>
      <c r="C152" t="s">
        <v>105</v>
      </c>
      <c r="D152">
        <v>1998</v>
      </c>
      <c r="E152" t="s">
        <v>88</v>
      </c>
      <c r="F152">
        <v>5</v>
      </c>
      <c r="G152">
        <v>30</v>
      </c>
    </row>
    <row r="153" spans="1:7" x14ac:dyDescent="0.25">
      <c r="A153">
        <v>7</v>
      </c>
      <c r="B153" t="s">
        <v>7</v>
      </c>
      <c r="C153" t="s">
        <v>105</v>
      </c>
      <c r="D153">
        <v>1998</v>
      </c>
      <c r="E153" t="s">
        <v>89</v>
      </c>
      <c r="F153">
        <v>31</v>
      </c>
      <c r="G153">
        <v>781</v>
      </c>
    </row>
    <row r="154" spans="1:7" x14ac:dyDescent="0.25">
      <c r="A154">
        <v>8</v>
      </c>
      <c r="B154" t="s">
        <v>13</v>
      </c>
      <c r="C154" t="s">
        <v>105</v>
      </c>
      <c r="D154">
        <v>1998</v>
      </c>
      <c r="E154" t="s">
        <v>89</v>
      </c>
      <c r="F154">
        <v>70</v>
      </c>
      <c r="G154">
        <v>2220</v>
      </c>
    </row>
    <row r="155" spans="1:7" x14ac:dyDescent="0.25">
      <c r="A155">
        <v>8</v>
      </c>
      <c r="B155" t="s">
        <v>13</v>
      </c>
      <c r="C155" t="s">
        <v>54</v>
      </c>
      <c r="D155">
        <v>1998</v>
      </c>
      <c r="E155" t="s">
        <v>85</v>
      </c>
      <c r="F155">
        <v>33</v>
      </c>
      <c r="G155">
        <v>539.39999980000005</v>
      </c>
    </row>
    <row r="156" spans="1:7" x14ac:dyDescent="0.25">
      <c r="A156">
        <v>6</v>
      </c>
      <c r="B156" t="s">
        <v>7</v>
      </c>
      <c r="C156" t="s">
        <v>54</v>
      </c>
      <c r="D156">
        <v>1998</v>
      </c>
      <c r="E156" t="s">
        <v>89</v>
      </c>
      <c r="F156">
        <v>16</v>
      </c>
      <c r="G156">
        <v>848</v>
      </c>
    </row>
    <row r="157" spans="1:7" x14ac:dyDescent="0.25">
      <c r="A157">
        <v>3</v>
      </c>
      <c r="B157" t="s">
        <v>10</v>
      </c>
      <c r="C157" t="s">
        <v>54</v>
      </c>
      <c r="D157">
        <v>1998</v>
      </c>
      <c r="E157" t="s">
        <v>91</v>
      </c>
      <c r="F157">
        <v>103</v>
      </c>
      <c r="G157">
        <v>2227.8874980000001</v>
      </c>
    </row>
    <row r="158" spans="1:7" x14ac:dyDescent="0.25">
      <c r="A158">
        <v>2</v>
      </c>
      <c r="B158" t="s">
        <v>19</v>
      </c>
      <c r="C158" t="s">
        <v>54</v>
      </c>
      <c r="D158">
        <v>1998</v>
      </c>
      <c r="E158" t="s">
        <v>91</v>
      </c>
      <c r="F158">
        <v>70</v>
      </c>
      <c r="G158">
        <v>1410.99999</v>
      </c>
    </row>
    <row r="159" spans="1:7" x14ac:dyDescent="0.25">
      <c r="A159">
        <v>6</v>
      </c>
      <c r="B159" t="s">
        <v>7</v>
      </c>
      <c r="C159" t="s">
        <v>55</v>
      </c>
      <c r="D159">
        <v>1998</v>
      </c>
      <c r="E159" t="s">
        <v>91</v>
      </c>
      <c r="F159">
        <v>38</v>
      </c>
      <c r="G159">
        <v>906.92999850000001</v>
      </c>
    </row>
    <row r="160" spans="1:7" x14ac:dyDescent="0.25">
      <c r="A160">
        <v>6</v>
      </c>
      <c r="B160" t="s">
        <v>7</v>
      </c>
      <c r="C160" t="s">
        <v>55</v>
      </c>
      <c r="D160">
        <v>1998</v>
      </c>
      <c r="E160" t="s">
        <v>85</v>
      </c>
      <c r="F160">
        <v>56</v>
      </c>
      <c r="G160">
        <v>1197.9499989999999</v>
      </c>
    </row>
    <row r="161" spans="1:7" x14ac:dyDescent="0.25">
      <c r="A161">
        <v>2</v>
      </c>
      <c r="B161" t="s">
        <v>19</v>
      </c>
      <c r="C161" t="s">
        <v>55</v>
      </c>
      <c r="D161">
        <v>1998</v>
      </c>
      <c r="E161" t="s">
        <v>85</v>
      </c>
      <c r="F161">
        <v>24</v>
      </c>
      <c r="G161">
        <v>632.39999560000001</v>
      </c>
    </row>
    <row r="162" spans="1:7" x14ac:dyDescent="0.25">
      <c r="A162">
        <v>2</v>
      </c>
      <c r="B162" t="s">
        <v>19</v>
      </c>
      <c r="C162" t="s">
        <v>56</v>
      </c>
      <c r="D162">
        <v>1998</v>
      </c>
      <c r="E162" t="s">
        <v>87</v>
      </c>
      <c r="F162">
        <v>30</v>
      </c>
      <c r="G162">
        <v>300</v>
      </c>
    </row>
    <row r="163" spans="1:7" x14ac:dyDescent="0.25">
      <c r="A163">
        <v>1</v>
      </c>
      <c r="B163" t="s">
        <v>19</v>
      </c>
      <c r="C163" t="s">
        <v>56</v>
      </c>
      <c r="D163">
        <v>1998</v>
      </c>
      <c r="E163" t="s">
        <v>85</v>
      </c>
      <c r="F163">
        <v>24</v>
      </c>
      <c r="G163">
        <v>1196</v>
      </c>
    </row>
    <row r="164" spans="1:7" x14ac:dyDescent="0.25">
      <c r="A164">
        <v>8</v>
      </c>
      <c r="B164" t="s">
        <v>13</v>
      </c>
      <c r="C164" t="s">
        <v>57</v>
      </c>
      <c r="D164">
        <v>1998</v>
      </c>
      <c r="E164" t="s">
        <v>91</v>
      </c>
      <c r="F164">
        <v>35</v>
      </c>
      <c r="G164">
        <v>735</v>
      </c>
    </row>
    <row r="165" spans="1:7" x14ac:dyDescent="0.25">
      <c r="A165">
        <v>2</v>
      </c>
      <c r="B165" t="s">
        <v>19</v>
      </c>
      <c r="C165" t="s">
        <v>57</v>
      </c>
      <c r="D165">
        <v>1998</v>
      </c>
      <c r="E165" t="s">
        <v>85</v>
      </c>
      <c r="F165">
        <v>80</v>
      </c>
      <c r="G165">
        <v>3054.9999910000001</v>
      </c>
    </row>
    <row r="166" spans="1:7" x14ac:dyDescent="0.25">
      <c r="A166">
        <v>8</v>
      </c>
      <c r="B166" t="s">
        <v>13</v>
      </c>
      <c r="C166" t="s">
        <v>58</v>
      </c>
      <c r="D166">
        <v>1998</v>
      </c>
      <c r="E166" t="s">
        <v>85</v>
      </c>
      <c r="F166">
        <v>54</v>
      </c>
      <c r="G166">
        <v>2633.9</v>
      </c>
    </row>
    <row r="167" spans="1:7" x14ac:dyDescent="0.25">
      <c r="A167">
        <v>8</v>
      </c>
      <c r="B167" t="s">
        <v>13</v>
      </c>
      <c r="C167" t="s">
        <v>59</v>
      </c>
      <c r="D167">
        <v>1998</v>
      </c>
      <c r="E167" t="s">
        <v>89</v>
      </c>
      <c r="F167">
        <v>195</v>
      </c>
      <c r="G167">
        <v>3584</v>
      </c>
    </row>
    <row r="168" spans="1:7" x14ac:dyDescent="0.25">
      <c r="A168">
        <v>3</v>
      </c>
      <c r="B168" t="s">
        <v>10</v>
      </c>
      <c r="C168" t="s">
        <v>59</v>
      </c>
      <c r="D168">
        <v>1998</v>
      </c>
      <c r="E168" t="s">
        <v>85</v>
      </c>
      <c r="F168">
        <v>168</v>
      </c>
      <c r="G168">
        <v>6306.24</v>
      </c>
    </row>
    <row r="169" spans="1:7" x14ac:dyDescent="0.25">
      <c r="A169">
        <v>4</v>
      </c>
      <c r="B169" t="s">
        <v>19</v>
      </c>
      <c r="C169" t="s">
        <v>59</v>
      </c>
      <c r="D169">
        <v>1998</v>
      </c>
      <c r="E169" t="s">
        <v>85</v>
      </c>
      <c r="F169">
        <v>40</v>
      </c>
      <c r="G169">
        <v>560</v>
      </c>
    </row>
    <row r="170" spans="1:7" x14ac:dyDescent="0.25">
      <c r="A170">
        <v>1</v>
      </c>
      <c r="B170" t="s">
        <v>19</v>
      </c>
      <c r="C170" t="s">
        <v>59</v>
      </c>
      <c r="D170">
        <v>1998</v>
      </c>
      <c r="E170" t="s">
        <v>85</v>
      </c>
      <c r="F170">
        <v>160</v>
      </c>
      <c r="G170">
        <v>2295.9999910000001</v>
      </c>
    </row>
    <row r="171" spans="1:7" x14ac:dyDescent="0.25">
      <c r="A171">
        <v>3</v>
      </c>
      <c r="B171" t="s">
        <v>10</v>
      </c>
      <c r="C171" t="s">
        <v>59</v>
      </c>
      <c r="D171">
        <v>1998</v>
      </c>
      <c r="E171" t="s">
        <v>89</v>
      </c>
      <c r="F171">
        <v>128</v>
      </c>
      <c r="G171">
        <v>2731.875</v>
      </c>
    </row>
    <row r="172" spans="1:7" x14ac:dyDescent="0.25">
      <c r="A172">
        <v>4</v>
      </c>
      <c r="B172" t="s">
        <v>19</v>
      </c>
      <c r="C172" t="s">
        <v>59</v>
      </c>
      <c r="D172">
        <v>1998</v>
      </c>
      <c r="E172" t="s">
        <v>88</v>
      </c>
      <c r="F172">
        <v>20</v>
      </c>
      <c r="G172">
        <v>1538.9999989999999</v>
      </c>
    </row>
    <row r="173" spans="1:7" x14ac:dyDescent="0.25">
      <c r="A173">
        <v>2</v>
      </c>
      <c r="B173" t="s">
        <v>19</v>
      </c>
      <c r="C173" t="s">
        <v>59</v>
      </c>
      <c r="D173">
        <v>1998</v>
      </c>
      <c r="E173" t="s">
        <v>88</v>
      </c>
      <c r="F173">
        <v>140</v>
      </c>
      <c r="G173">
        <v>16387.49999</v>
      </c>
    </row>
    <row r="174" spans="1:7" x14ac:dyDescent="0.25">
      <c r="A174">
        <v>8</v>
      </c>
      <c r="B174" t="s">
        <v>13</v>
      </c>
      <c r="C174" t="s">
        <v>59</v>
      </c>
      <c r="D174">
        <v>1998</v>
      </c>
      <c r="E174" t="s">
        <v>91</v>
      </c>
      <c r="F174">
        <v>245</v>
      </c>
      <c r="G174">
        <v>3812.6999959999998</v>
      </c>
    </row>
    <row r="175" spans="1:7" x14ac:dyDescent="0.25">
      <c r="A175">
        <v>2</v>
      </c>
      <c r="B175" t="s">
        <v>19</v>
      </c>
      <c r="C175" t="s">
        <v>60</v>
      </c>
      <c r="D175">
        <v>1998</v>
      </c>
      <c r="E175" t="s">
        <v>89</v>
      </c>
      <c r="F175">
        <v>59</v>
      </c>
      <c r="G175">
        <v>1353.6</v>
      </c>
    </row>
    <row r="176" spans="1:7" x14ac:dyDescent="0.25">
      <c r="A176">
        <v>8</v>
      </c>
      <c r="B176" t="s">
        <v>13</v>
      </c>
      <c r="C176" t="s">
        <v>61</v>
      </c>
      <c r="D176">
        <v>1998</v>
      </c>
      <c r="E176" t="s">
        <v>89</v>
      </c>
      <c r="F176">
        <v>66</v>
      </c>
      <c r="G176">
        <v>1119.9000000000001</v>
      </c>
    </row>
    <row r="177" spans="1:7" x14ac:dyDescent="0.25">
      <c r="A177">
        <v>6</v>
      </c>
      <c r="B177" t="s">
        <v>7</v>
      </c>
      <c r="C177" t="s">
        <v>61</v>
      </c>
      <c r="D177">
        <v>1998</v>
      </c>
      <c r="E177" t="s">
        <v>88</v>
      </c>
      <c r="F177">
        <v>25</v>
      </c>
      <c r="G177">
        <v>537.5</v>
      </c>
    </row>
    <row r="178" spans="1:7" x14ac:dyDescent="0.25">
      <c r="A178">
        <v>8</v>
      </c>
      <c r="B178" t="s">
        <v>13</v>
      </c>
      <c r="C178" t="s">
        <v>61</v>
      </c>
      <c r="D178">
        <v>1998</v>
      </c>
      <c r="E178" t="s">
        <v>87</v>
      </c>
      <c r="F178">
        <v>72</v>
      </c>
      <c r="G178">
        <v>2027.079986</v>
      </c>
    </row>
    <row r="179" spans="1:7" x14ac:dyDescent="0.25">
      <c r="A179">
        <v>4</v>
      </c>
      <c r="B179" t="s">
        <v>19</v>
      </c>
      <c r="C179" t="s">
        <v>61</v>
      </c>
      <c r="D179">
        <v>1998</v>
      </c>
      <c r="E179" t="s">
        <v>88</v>
      </c>
      <c r="F179">
        <v>85</v>
      </c>
      <c r="G179">
        <v>768.75</v>
      </c>
    </row>
    <row r="180" spans="1:7" x14ac:dyDescent="0.25">
      <c r="A180">
        <v>7</v>
      </c>
      <c r="B180" t="s">
        <v>7</v>
      </c>
      <c r="C180" t="s">
        <v>61</v>
      </c>
      <c r="D180">
        <v>1998</v>
      </c>
      <c r="E180" t="s">
        <v>88</v>
      </c>
      <c r="F180">
        <v>92</v>
      </c>
      <c r="G180">
        <v>1920.599999</v>
      </c>
    </row>
    <row r="181" spans="1:7" x14ac:dyDescent="0.25">
      <c r="A181">
        <v>6</v>
      </c>
      <c r="B181" t="s">
        <v>7</v>
      </c>
      <c r="C181" t="s">
        <v>106</v>
      </c>
      <c r="D181">
        <v>1998</v>
      </c>
      <c r="E181" t="s">
        <v>85</v>
      </c>
      <c r="F181">
        <v>5</v>
      </c>
      <c r="G181">
        <v>76</v>
      </c>
    </row>
    <row r="182" spans="1:7" x14ac:dyDescent="0.25">
      <c r="A182">
        <v>1</v>
      </c>
      <c r="B182" t="s">
        <v>19</v>
      </c>
      <c r="C182" t="s">
        <v>106</v>
      </c>
      <c r="D182">
        <v>1998</v>
      </c>
      <c r="E182" t="s">
        <v>88</v>
      </c>
      <c r="F182">
        <v>32</v>
      </c>
      <c r="G182">
        <v>686.7</v>
      </c>
    </row>
    <row r="183" spans="1:7" x14ac:dyDescent="0.25">
      <c r="A183">
        <v>9</v>
      </c>
      <c r="B183" t="s">
        <v>13</v>
      </c>
      <c r="C183" t="s">
        <v>106</v>
      </c>
      <c r="D183">
        <v>1998</v>
      </c>
      <c r="E183" t="s">
        <v>91</v>
      </c>
      <c r="F183">
        <v>7</v>
      </c>
      <c r="G183">
        <v>932</v>
      </c>
    </row>
    <row r="184" spans="1:7" x14ac:dyDescent="0.25">
      <c r="A184">
        <v>2</v>
      </c>
      <c r="B184" t="s">
        <v>19</v>
      </c>
      <c r="C184" t="s">
        <v>62</v>
      </c>
      <c r="D184">
        <v>1998</v>
      </c>
      <c r="E184" t="s">
        <v>85</v>
      </c>
      <c r="F184">
        <v>85</v>
      </c>
      <c r="G184">
        <v>903.75</v>
      </c>
    </row>
    <row r="185" spans="1:7" x14ac:dyDescent="0.25">
      <c r="A185">
        <v>1</v>
      </c>
      <c r="B185" t="s">
        <v>19</v>
      </c>
      <c r="C185" t="s">
        <v>62</v>
      </c>
      <c r="D185">
        <v>1998</v>
      </c>
      <c r="E185" t="s">
        <v>87</v>
      </c>
      <c r="F185">
        <v>72</v>
      </c>
      <c r="G185">
        <v>1255.720499</v>
      </c>
    </row>
    <row r="186" spans="1:7" x14ac:dyDescent="0.25">
      <c r="A186">
        <v>3</v>
      </c>
      <c r="B186" t="s">
        <v>10</v>
      </c>
      <c r="C186" t="s">
        <v>62</v>
      </c>
      <c r="D186">
        <v>1998</v>
      </c>
      <c r="E186" t="s">
        <v>89</v>
      </c>
      <c r="F186">
        <v>100</v>
      </c>
      <c r="G186">
        <v>3574.7999970000001</v>
      </c>
    </row>
    <row r="187" spans="1:7" x14ac:dyDescent="0.25">
      <c r="A187">
        <v>9</v>
      </c>
      <c r="B187" t="s">
        <v>13</v>
      </c>
      <c r="C187" t="s">
        <v>62</v>
      </c>
      <c r="D187">
        <v>1998</v>
      </c>
      <c r="E187" t="s">
        <v>88</v>
      </c>
      <c r="F187">
        <v>80</v>
      </c>
      <c r="G187">
        <v>11380</v>
      </c>
    </row>
    <row r="188" spans="1:7" x14ac:dyDescent="0.25">
      <c r="A188">
        <v>8</v>
      </c>
      <c r="B188" t="s">
        <v>13</v>
      </c>
      <c r="C188" t="s">
        <v>62</v>
      </c>
      <c r="D188">
        <v>1998</v>
      </c>
      <c r="E188" t="s">
        <v>91</v>
      </c>
      <c r="F188">
        <v>71</v>
      </c>
      <c r="G188">
        <v>2984</v>
      </c>
    </row>
    <row r="189" spans="1:7" x14ac:dyDescent="0.25">
      <c r="A189">
        <v>3</v>
      </c>
      <c r="B189" t="s">
        <v>10</v>
      </c>
      <c r="C189" t="s">
        <v>62</v>
      </c>
      <c r="D189">
        <v>1998</v>
      </c>
      <c r="E189" t="s">
        <v>91</v>
      </c>
      <c r="F189">
        <v>30</v>
      </c>
      <c r="G189">
        <v>1140</v>
      </c>
    </row>
    <row r="190" spans="1:7" x14ac:dyDescent="0.25">
      <c r="A190">
        <v>9</v>
      </c>
      <c r="B190" t="s">
        <v>13</v>
      </c>
      <c r="C190" t="s">
        <v>63</v>
      </c>
      <c r="D190">
        <v>1998</v>
      </c>
      <c r="E190" t="s">
        <v>89</v>
      </c>
      <c r="F190">
        <v>28</v>
      </c>
      <c r="G190">
        <v>560</v>
      </c>
    </row>
    <row r="191" spans="1:7" x14ac:dyDescent="0.25">
      <c r="A191">
        <v>4</v>
      </c>
      <c r="B191" t="s">
        <v>19</v>
      </c>
      <c r="C191" t="s">
        <v>63</v>
      </c>
      <c r="D191">
        <v>1998</v>
      </c>
      <c r="E191" t="s">
        <v>85</v>
      </c>
      <c r="F191">
        <v>22</v>
      </c>
      <c r="G191">
        <v>406.39999849999998</v>
      </c>
    </row>
    <row r="192" spans="1:7" x14ac:dyDescent="0.25">
      <c r="A192">
        <v>2</v>
      </c>
      <c r="B192" t="s">
        <v>19</v>
      </c>
      <c r="C192" t="s">
        <v>63</v>
      </c>
      <c r="D192">
        <v>1998</v>
      </c>
      <c r="E192" t="s">
        <v>85</v>
      </c>
      <c r="F192">
        <v>30</v>
      </c>
      <c r="G192">
        <v>645</v>
      </c>
    </row>
    <row r="193" spans="1:7" x14ac:dyDescent="0.25">
      <c r="A193">
        <v>4</v>
      </c>
      <c r="B193" t="s">
        <v>19</v>
      </c>
      <c r="C193" t="s">
        <v>63</v>
      </c>
      <c r="D193">
        <v>1998</v>
      </c>
      <c r="E193" t="s">
        <v>88</v>
      </c>
      <c r="F193">
        <v>34</v>
      </c>
      <c r="G193">
        <v>663.09999949999997</v>
      </c>
    </row>
    <row r="194" spans="1:7" x14ac:dyDescent="0.25">
      <c r="A194">
        <v>5</v>
      </c>
      <c r="B194" t="s">
        <v>19</v>
      </c>
      <c r="C194" t="s">
        <v>63</v>
      </c>
      <c r="D194">
        <v>1998</v>
      </c>
      <c r="E194" t="s">
        <v>91</v>
      </c>
      <c r="F194">
        <v>76</v>
      </c>
      <c r="G194">
        <v>1692.799998</v>
      </c>
    </row>
    <row r="195" spans="1:7" x14ac:dyDescent="0.25">
      <c r="A195">
        <v>2</v>
      </c>
      <c r="B195" t="s">
        <v>19</v>
      </c>
      <c r="C195" t="s">
        <v>64</v>
      </c>
      <c r="D195">
        <v>1998</v>
      </c>
      <c r="E195" t="s">
        <v>85</v>
      </c>
      <c r="F195">
        <v>77</v>
      </c>
      <c r="G195">
        <v>1838</v>
      </c>
    </row>
    <row r="196" spans="1:7" x14ac:dyDescent="0.25">
      <c r="A196">
        <v>1</v>
      </c>
      <c r="B196" t="s">
        <v>19</v>
      </c>
      <c r="C196" t="s">
        <v>64</v>
      </c>
      <c r="D196">
        <v>1998</v>
      </c>
      <c r="E196" t="s">
        <v>88</v>
      </c>
      <c r="F196">
        <v>55</v>
      </c>
      <c r="G196">
        <v>1955.125</v>
      </c>
    </row>
    <row r="197" spans="1:7" x14ac:dyDescent="0.25">
      <c r="A197">
        <v>5</v>
      </c>
      <c r="B197" t="s">
        <v>19</v>
      </c>
      <c r="C197" t="s">
        <v>64</v>
      </c>
      <c r="D197">
        <v>1998</v>
      </c>
      <c r="E197" t="s">
        <v>91</v>
      </c>
      <c r="F197">
        <v>67</v>
      </c>
      <c r="G197">
        <v>2602.9999979999998</v>
      </c>
    </row>
    <row r="198" spans="1:7" x14ac:dyDescent="0.25">
      <c r="A198">
        <v>1</v>
      </c>
      <c r="B198" t="s">
        <v>19</v>
      </c>
      <c r="C198" t="s">
        <v>64</v>
      </c>
      <c r="D198">
        <v>1998</v>
      </c>
      <c r="E198" t="s">
        <v>91</v>
      </c>
      <c r="F198">
        <v>47</v>
      </c>
      <c r="G198">
        <v>602.39999929999999</v>
      </c>
    </row>
    <row r="199" spans="1:7" x14ac:dyDescent="0.25">
      <c r="A199">
        <v>8</v>
      </c>
      <c r="B199" t="s">
        <v>13</v>
      </c>
      <c r="C199" t="s">
        <v>65</v>
      </c>
      <c r="D199">
        <v>1998</v>
      </c>
      <c r="E199" t="s">
        <v>87</v>
      </c>
      <c r="F199">
        <v>42</v>
      </c>
      <c r="G199">
        <v>498.09999649999997</v>
      </c>
    </row>
    <row r="200" spans="1:7" x14ac:dyDescent="0.25">
      <c r="A200">
        <v>7</v>
      </c>
      <c r="B200" t="s">
        <v>7</v>
      </c>
      <c r="C200" t="s">
        <v>65</v>
      </c>
      <c r="D200">
        <v>1998</v>
      </c>
      <c r="E200" t="s">
        <v>85</v>
      </c>
      <c r="F200">
        <v>106</v>
      </c>
      <c r="G200">
        <v>3232.7999949999999</v>
      </c>
    </row>
    <row r="201" spans="1:7" x14ac:dyDescent="0.25">
      <c r="A201">
        <v>9</v>
      </c>
      <c r="B201" t="s">
        <v>13</v>
      </c>
      <c r="C201" t="s">
        <v>65</v>
      </c>
      <c r="D201">
        <v>1998</v>
      </c>
      <c r="E201" t="s">
        <v>89</v>
      </c>
      <c r="F201">
        <v>71</v>
      </c>
      <c r="G201">
        <v>458.75499960000002</v>
      </c>
    </row>
    <row r="202" spans="1:7" x14ac:dyDescent="0.25">
      <c r="A202">
        <v>4</v>
      </c>
      <c r="B202" t="s">
        <v>19</v>
      </c>
      <c r="C202" t="s">
        <v>65</v>
      </c>
      <c r="D202">
        <v>1998</v>
      </c>
      <c r="E202" t="s">
        <v>89</v>
      </c>
      <c r="F202">
        <v>72</v>
      </c>
      <c r="G202">
        <v>799.19999849999999</v>
      </c>
    </row>
    <row r="203" spans="1:7" x14ac:dyDescent="0.25">
      <c r="A203">
        <v>4</v>
      </c>
      <c r="B203" t="s">
        <v>19</v>
      </c>
      <c r="C203" t="s">
        <v>66</v>
      </c>
      <c r="D203">
        <v>1998</v>
      </c>
      <c r="E203" t="s">
        <v>89</v>
      </c>
      <c r="F203">
        <v>11</v>
      </c>
      <c r="G203">
        <v>365.89</v>
      </c>
    </row>
    <row r="204" spans="1:7" x14ac:dyDescent="0.25">
      <c r="A204">
        <v>2</v>
      </c>
      <c r="B204" t="s">
        <v>19</v>
      </c>
      <c r="C204" t="s">
        <v>66</v>
      </c>
      <c r="D204">
        <v>1998</v>
      </c>
      <c r="E204" t="s">
        <v>85</v>
      </c>
      <c r="F204">
        <v>36</v>
      </c>
      <c r="G204">
        <v>361</v>
      </c>
    </row>
    <row r="205" spans="1:7" x14ac:dyDescent="0.25">
      <c r="A205">
        <v>2</v>
      </c>
      <c r="B205" t="s">
        <v>19</v>
      </c>
      <c r="C205" t="s">
        <v>67</v>
      </c>
      <c r="D205">
        <v>1998</v>
      </c>
      <c r="E205" t="s">
        <v>85</v>
      </c>
      <c r="F205">
        <v>33</v>
      </c>
      <c r="G205">
        <v>622.35</v>
      </c>
    </row>
    <row r="206" spans="1:7" x14ac:dyDescent="0.25">
      <c r="A206">
        <v>1</v>
      </c>
      <c r="B206" t="s">
        <v>19</v>
      </c>
      <c r="C206" t="s">
        <v>67</v>
      </c>
      <c r="D206">
        <v>1998</v>
      </c>
      <c r="E206" t="s">
        <v>88</v>
      </c>
      <c r="F206">
        <v>32</v>
      </c>
      <c r="G206">
        <v>670</v>
      </c>
    </row>
    <row r="207" spans="1:7" x14ac:dyDescent="0.25">
      <c r="A207">
        <v>3</v>
      </c>
      <c r="B207" t="s">
        <v>10</v>
      </c>
      <c r="C207" t="s">
        <v>67</v>
      </c>
      <c r="D207">
        <v>1998</v>
      </c>
      <c r="E207" t="s">
        <v>91</v>
      </c>
      <c r="F207">
        <v>27</v>
      </c>
      <c r="G207">
        <v>2684.4</v>
      </c>
    </row>
    <row r="208" spans="1:7" x14ac:dyDescent="0.25">
      <c r="A208">
        <v>7</v>
      </c>
      <c r="B208" t="s">
        <v>7</v>
      </c>
      <c r="C208" t="s">
        <v>68</v>
      </c>
      <c r="D208">
        <v>1998</v>
      </c>
      <c r="E208" t="s">
        <v>85</v>
      </c>
      <c r="F208">
        <v>330</v>
      </c>
      <c r="G208">
        <v>12615.05</v>
      </c>
    </row>
    <row r="209" spans="1:7" x14ac:dyDescent="0.25">
      <c r="A209">
        <v>1</v>
      </c>
      <c r="B209" t="s">
        <v>19</v>
      </c>
      <c r="C209" t="s">
        <v>68</v>
      </c>
      <c r="D209">
        <v>1998</v>
      </c>
      <c r="E209" t="s">
        <v>87</v>
      </c>
      <c r="F209">
        <v>173</v>
      </c>
      <c r="G209">
        <v>4330.3999940000003</v>
      </c>
    </row>
    <row r="210" spans="1:7" x14ac:dyDescent="0.25">
      <c r="A210">
        <v>6</v>
      </c>
      <c r="B210" t="s">
        <v>7</v>
      </c>
      <c r="C210" t="s">
        <v>68</v>
      </c>
      <c r="D210">
        <v>1998</v>
      </c>
      <c r="E210" t="s">
        <v>85</v>
      </c>
      <c r="F210">
        <v>182</v>
      </c>
      <c r="G210">
        <v>2393.5</v>
      </c>
    </row>
    <row r="211" spans="1:7" x14ac:dyDescent="0.25">
      <c r="A211">
        <v>7</v>
      </c>
      <c r="B211" t="s">
        <v>7</v>
      </c>
      <c r="C211" t="s">
        <v>68</v>
      </c>
      <c r="D211">
        <v>1998</v>
      </c>
      <c r="E211" t="s">
        <v>89</v>
      </c>
      <c r="F211">
        <v>204</v>
      </c>
      <c r="G211">
        <v>4011.75</v>
      </c>
    </row>
    <row r="212" spans="1:7" x14ac:dyDescent="0.25">
      <c r="A212">
        <v>2</v>
      </c>
      <c r="B212" t="s">
        <v>19</v>
      </c>
      <c r="C212" t="s">
        <v>68</v>
      </c>
      <c r="D212">
        <v>1998</v>
      </c>
      <c r="E212" t="s">
        <v>89</v>
      </c>
      <c r="F212">
        <v>99</v>
      </c>
      <c r="G212">
        <v>720.89999699999998</v>
      </c>
    </row>
    <row r="213" spans="1:7" x14ac:dyDescent="0.25">
      <c r="A213">
        <v>1</v>
      </c>
      <c r="B213" t="s">
        <v>19</v>
      </c>
      <c r="C213" t="s">
        <v>68</v>
      </c>
      <c r="D213">
        <v>1998</v>
      </c>
      <c r="E213" t="s">
        <v>88</v>
      </c>
      <c r="F213">
        <v>198</v>
      </c>
      <c r="G213">
        <v>2753.0999980000001</v>
      </c>
    </row>
    <row r="214" spans="1:7" x14ac:dyDescent="0.25">
      <c r="A214">
        <v>4</v>
      </c>
      <c r="B214" t="s">
        <v>19</v>
      </c>
      <c r="C214" t="s">
        <v>68</v>
      </c>
      <c r="D214">
        <v>1998</v>
      </c>
      <c r="E214" t="s">
        <v>88</v>
      </c>
      <c r="F214">
        <v>77</v>
      </c>
      <c r="G214">
        <v>892.63999620000004</v>
      </c>
    </row>
    <row r="215" spans="1:7" x14ac:dyDescent="0.25">
      <c r="A215">
        <v>4</v>
      </c>
      <c r="B215" t="s">
        <v>19</v>
      </c>
      <c r="C215" t="s">
        <v>68</v>
      </c>
      <c r="D215">
        <v>1998</v>
      </c>
      <c r="E215" t="s">
        <v>91</v>
      </c>
      <c r="F215">
        <v>288</v>
      </c>
      <c r="G215">
        <v>4931.9199820000003</v>
      </c>
    </row>
    <row r="216" spans="1:7" x14ac:dyDescent="0.25">
      <c r="A216">
        <v>1</v>
      </c>
      <c r="B216" t="s">
        <v>19</v>
      </c>
      <c r="C216" t="s">
        <v>68</v>
      </c>
      <c r="D216">
        <v>1998</v>
      </c>
      <c r="E216" t="s">
        <v>89</v>
      </c>
      <c r="F216">
        <v>115</v>
      </c>
      <c r="G216">
        <v>1809.75</v>
      </c>
    </row>
    <row r="217" spans="1:7" x14ac:dyDescent="0.25">
      <c r="A217">
        <v>2</v>
      </c>
      <c r="B217" t="s">
        <v>19</v>
      </c>
      <c r="C217" t="s">
        <v>68</v>
      </c>
      <c r="D217">
        <v>1998</v>
      </c>
      <c r="E217" t="s">
        <v>91</v>
      </c>
      <c r="F217">
        <v>16</v>
      </c>
      <c r="G217">
        <v>40</v>
      </c>
    </row>
    <row r="218" spans="1:7" x14ac:dyDescent="0.25">
      <c r="A218">
        <v>4</v>
      </c>
      <c r="B218" t="s">
        <v>19</v>
      </c>
      <c r="C218" t="s">
        <v>68</v>
      </c>
      <c r="D218">
        <v>1998</v>
      </c>
      <c r="E218" t="s">
        <v>85</v>
      </c>
      <c r="F218">
        <v>135</v>
      </c>
      <c r="G218">
        <v>1811.0999959999999</v>
      </c>
    </row>
    <row r="219" spans="1:7" x14ac:dyDescent="0.25">
      <c r="A219">
        <v>5</v>
      </c>
      <c r="B219" t="s">
        <v>19</v>
      </c>
      <c r="C219" t="s">
        <v>69</v>
      </c>
      <c r="D219">
        <v>1998</v>
      </c>
      <c r="E219" t="s">
        <v>88</v>
      </c>
      <c r="F219">
        <v>120</v>
      </c>
      <c r="G219">
        <v>1630</v>
      </c>
    </row>
    <row r="220" spans="1:7" x14ac:dyDescent="0.25">
      <c r="A220">
        <v>7</v>
      </c>
      <c r="B220" t="s">
        <v>7</v>
      </c>
      <c r="C220" t="s">
        <v>70</v>
      </c>
      <c r="D220">
        <v>1998</v>
      </c>
      <c r="E220" t="s">
        <v>87</v>
      </c>
      <c r="F220">
        <v>14</v>
      </c>
      <c r="G220">
        <v>232.08499979999999</v>
      </c>
    </row>
    <row r="221" spans="1:7" x14ac:dyDescent="0.25">
      <c r="A221">
        <v>3</v>
      </c>
      <c r="B221" t="s">
        <v>10</v>
      </c>
      <c r="C221" t="s">
        <v>71</v>
      </c>
      <c r="D221">
        <v>1998</v>
      </c>
      <c r="E221" t="s">
        <v>89</v>
      </c>
      <c r="F221">
        <v>10</v>
      </c>
      <c r="G221">
        <v>439</v>
      </c>
    </row>
    <row r="222" spans="1:7" x14ac:dyDescent="0.25">
      <c r="A222">
        <v>1</v>
      </c>
      <c r="B222" t="s">
        <v>19</v>
      </c>
      <c r="C222" t="s">
        <v>71</v>
      </c>
      <c r="D222">
        <v>1998</v>
      </c>
      <c r="E222" t="s">
        <v>91</v>
      </c>
      <c r="F222">
        <v>26</v>
      </c>
      <c r="G222">
        <v>678</v>
      </c>
    </row>
    <row r="223" spans="1:7" x14ac:dyDescent="0.25">
      <c r="A223">
        <v>5</v>
      </c>
      <c r="B223" t="s">
        <v>19</v>
      </c>
      <c r="C223" t="s">
        <v>107</v>
      </c>
      <c r="D223">
        <v>1998</v>
      </c>
      <c r="E223" t="s">
        <v>85</v>
      </c>
      <c r="F223">
        <v>10</v>
      </c>
      <c r="G223">
        <v>210</v>
      </c>
    </row>
    <row r="224" spans="1:7" x14ac:dyDescent="0.25">
      <c r="A224">
        <v>3</v>
      </c>
      <c r="B224" t="s">
        <v>10</v>
      </c>
      <c r="C224" t="s">
        <v>107</v>
      </c>
      <c r="D224">
        <v>1998</v>
      </c>
      <c r="E224" t="s">
        <v>89</v>
      </c>
      <c r="F224">
        <v>21</v>
      </c>
      <c r="G224">
        <v>2052.5</v>
      </c>
    </row>
    <row r="225" spans="1:7" x14ac:dyDescent="0.25">
      <c r="A225">
        <v>6</v>
      </c>
      <c r="B225" t="s">
        <v>7</v>
      </c>
      <c r="C225" t="s">
        <v>107</v>
      </c>
      <c r="D225">
        <v>1998</v>
      </c>
      <c r="E225" t="s">
        <v>88</v>
      </c>
      <c r="F225">
        <v>14</v>
      </c>
      <c r="G225">
        <v>108.5</v>
      </c>
    </row>
    <row r="226" spans="1:7" x14ac:dyDescent="0.25">
      <c r="A226">
        <v>2</v>
      </c>
      <c r="B226" t="s">
        <v>19</v>
      </c>
      <c r="C226" t="s">
        <v>72</v>
      </c>
      <c r="D226">
        <v>1998</v>
      </c>
      <c r="E226" t="s">
        <v>85</v>
      </c>
      <c r="F226">
        <v>110</v>
      </c>
      <c r="G226">
        <v>1754.5</v>
      </c>
    </row>
    <row r="227" spans="1:7" x14ac:dyDescent="0.25">
      <c r="A227">
        <v>1</v>
      </c>
      <c r="B227" t="s">
        <v>19</v>
      </c>
      <c r="C227" t="s">
        <v>72</v>
      </c>
      <c r="D227">
        <v>1998</v>
      </c>
      <c r="E227" t="s">
        <v>85</v>
      </c>
      <c r="F227">
        <v>37</v>
      </c>
      <c r="G227">
        <v>732.59999970000001</v>
      </c>
    </row>
    <row r="228" spans="1:7" x14ac:dyDescent="0.25">
      <c r="A228">
        <v>4</v>
      </c>
      <c r="B228" t="s">
        <v>19</v>
      </c>
      <c r="C228" t="s">
        <v>72</v>
      </c>
      <c r="D228">
        <v>1998</v>
      </c>
      <c r="E228" t="s">
        <v>89</v>
      </c>
      <c r="F228">
        <v>116</v>
      </c>
      <c r="G228">
        <v>2255.4999969999999</v>
      </c>
    </row>
    <row r="229" spans="1:7" x14ac:dyDescent="0.25">
      <c r="A229">
        <v>6</v>
      </c>
      <c r="B229" t="s">
        <v>7</v>
      </c>
      <c r="C229" t="s">
        <v>72</v>
      </c>
      <c r="D229">
        <v>1998</v>
      </c>
      <c r="E229" t="s">
        <v>88</v>
      </c>
      <c r="F229">
        <v>87</v>
      </c>
      <c r="G229">
        <v>1209</v>
      </c>
    </row>
    <row r="230" spans="1:7" x14ac:dyDescent="0.25">
      <c r="A230">
        <v>2</v>
      </c>
      <c r="B230" t="s">
        <v>19</v>
      </c>
      <c r="C230" t="s">
        <v>72</v>
      </c>
      <c r="D230">
        <v>1998</v>
      </c>
      <c r="E230" t="s">
        <v>91</v>
      </c>
      <c r="F230">
        <v>71</v>
      </c>
      <c r="G230">
        <v>1112</v>
      </c>
    </row>
    <row r="231" spans="1:7" x14ac:dyDescent="0.25">
      <c r="A231">
        <v>5</v>
      </c>
      <c r="B231" t="s">
        <v>19</v>
      </c>
      <c r="C231" t="s">
        <v>72</v>
      </c>
      <c r="D231">
        <v>1998</v>
      </c>
      <c r="E231" t="s">
        <v>91</v>
      </c>
      <c r="F231">
        <v>111</v>
      </c>
      <c r="G231">
        <v>4581</v>
      </c>
    </row>
    <row r="232" spans="1:7" x14ac:dyDescent="0.25">
      <c r="A232">
        <v>1</v>
      </c>
      <c r="B232" t="s">
        <v>19</v>
      </c>
      <c r="C232" t="s">
        <v>73</v>
      </c>
      <c r="D232">
        <v>1998</v>
      </c>
      <c r="E232" t="s">
        <v>85</v>
      </c>
      <c r="F232">
        <v>2</v>
      </c>
      <c r="G232">
        <v>69.599999999999994</v>
      </c>
    </row>
    <row r="233" spans="1:7" x14ac:dyDescent="0.25">
      <c r="A233">
        <v>3</v>
      </c>
      <c r="B233" t="s">
        <v>10</v>
      </c>
      <c r="C233" t="s">
        <v>108</v>
      </c>
      <c r="D233">
        <v>1998</v>
      </c>
      <c r="E233" t="s">
        <v>85</v>
      </c>
      <c r="F233">
        <v>24</v>
      </c>
      <c r="G233">
        <v>326</v>
      </c>
    </row>
    <row r="234" spans="1:7" x14ac:dyDescent="0.25">
      <c r="A234">
        <v>2</v>
      </c>
      <c r="B234" t="s">
        <v>19</v>
      </c>
      <c r="C234" t="s">
        <v>74</v>
      </c>
      <c r="D234">
        <v>1998</v>
      </c>
      <c r="E234" t="s">
        <v>89</v>
      </c>
      <c r="F234">
        <v>52</v>
      </c>
      <c r="G234">
        <v>910.4</v>
      </c>
    </row>
    <row r="235" spans="1:7" x14ac:dyDescent="0.25">
      <c r="A235">
        <v>1</v>
      </c>
      <c r="B235" t="s">
        <v>19</v>
      </c>
      <c r="C235" t="s">
        <v>75</v>
      </c>
      <c r="D235">
        <v>1998</v>
      </c>
      <c r="E235" t="s">
        <v>87</v>
      </c>
      <c r="F235">
        <v>20</v>
      </c>
      <c r="G235">
        <v>360</v>
      </c>
    </row>
    <row r="236" spans="1:7" x14ac:dyDescent="0.25">
      <c r="A236">
        <v>2</v>
      </c>
      <c r="B236" t="s">
        <v>19</v>
      </c>
      <c r="C236" t="s">
        <v>75</v>
      </c>
      <c r="D236">
        <v>1998</v>
      </c>
      <c r="E236" t="s">
        <v>88</v>
      </c>
      <c r="F236">
        <v>50</v>
      </c>
      <c r="G236">
        <v>539.5</v>
      </c>
    </row>
    <row r="237" spans="1:7" x14ac:dyDescent="0.25">
      <c r="A237">
        <v>1</v>
      </c>
      <c r="B237" t="s">
        <v>19</v>
      </c>
      <c r="C237" t="s">
        <v>75</v>
      </c>
      <c r="D237">
        <v>1998</v>
      </c>
      <c r="E237" t="s">
        <v>91</v>
      </c>
      <c r="F237">
        <v>52</v>
      </c>
      <c r="G237">
        <v>975</v>
      </c>
    </row>
    <row r="238" spans="1:7" x14ac:dyDescent="0.25">
      <c r="A238">
        <v>3</v>
      </c>
      <c r="B238" t="s">
        <v>10</v>
      </c>
      <c r="C238" t="s">
        <v>76</v>
      </c>
      <c r="D238">
        <v>1998</v>
      </c>
      <c r="E238" t="s">
        <v>91</v>
      </c>
      <c r="F238">
        <v>45</v>
      </c>
      <c r="G238">
        <v>827.54999859999998</v>
      </c>
    </row>
    <row r="239" spans="1:7" x14ac:dyDescent="0.25">
      <c r="A239">
        <v>1</v>
      </c>
      <c r="B239" t="s">
        <v>19</v>
      </c>
      <c r="C239" t="s">
        <v>76</v>
      </c>
      <c r="D239">
        <v>1998</v>
      </c>
      <c r="E239" t="s">
        <v>91</v>
      </c>
      <c r="F239">
        <v>28</v>
      </c>
      <c r="G239">
        <v>1432.7139990000001</v>
      </c>
    </row>
    <row r="240" spans="1:7" x14ac:dyDescent="0.25">
      <c r="A240">
        <v>4</v>
      </c>
      <c r="B240" t="s">
        <v>19</v>
      </c>
      <c r="C240" t="s">
        <v>76</v>
      </c>
      <c r="D240">
        <v>1998</v>
      </c>
      <c r="E240" t="s">
        <v>91</v>
      </c>
      <c r="F240">
        <v>88</v>
      </c>
      <c r="G240">
        <v>1974</v>
      </c>
    </row>
    <row r="241" spans="1:7" x14ac:dyDescent="0.25">
      <c r="A241">
        <v>6</v>
      </c>
      <c r="B241" t="s">
        <v>7</v>
      </c>
      <c r="C241" t="s">
        <v>109</v>
      </c>
      <c r="D241">
        <v>1998</v>
      </c>
      <c r="E241" t="s">
        <v>91</v>
      </c>
      <c r="F241">
        <v>9</v>
      </c>
      <c r="G241">
        <v>237.9</v>
      </c>
    </row>
    <row r="242" spans="1:7" x14ac:dyDescent="0.25">
      <c r="A242">
        <v>1</v>
      </c>
      <c r="B242" t="s">
        <v>19</v>
      </c>
      <c r="C242" t="s">
        <v>77</v>
      </c>
      <c r="D242">
        <v>1998</v>
      </c>
      <c r="E242" t="s">
        <v>89</v>
      </c>
      <c r="F242">
        <v>140</v>
      </c>
      <c r="G242">
        <v>3343.5</v>
      </c>
    </row>
    <row r="243" spans="1:7" x14ac:dyDescent="0.25">
      <c r="A243">
        <v>2</v>
      </c>
      <c r="B243" t="s">
        <v>19</v>
      </c>
      <c r="C243" t="s">
        <v>77</v>
      </c>
      <c r="D243">
        <v>1998</v>
      </c>
      <c r="E243" t="s">
        <v>85</v>
      </c>
      <c r="F243">
        <v>18</v>
      </c>
      <c r="G243">
        <v>940.49999930000001</v>
      </c>
    </row>
    <row r="244" spans="1:7" x14ac:dyDescent="0.25">
      <c r="A244">
        <v>1</v>
      </c>
      <c r="B244" t="s">
        <v>19</v>
      </c>
      <c r="C244" t="s">
        <v>78</v>
      </c>
      <c r="D244">
        <v>1998</v>
      </c>
      <c r="E244" t="s">
        <v>91</v>
      </c>
      <c r="F244">
        <v>54</v>
      </c>
      <c r="G244">
        <v>628.99999560000003</v>
      </c>
    </row>
    <row r="245" spans="1:7" x14ac:dyDescent="0.25">
      <c r="A245">
        <v>4</v>
      </c>
      <c r="B245" t="s">
        <v>19</v>
      </c>
      <c r="C245" t="s">
        <v>78</v>
      </c>
      <c r="D245">
        <v>1998</v>
      </c>
      <c r="E245" t="s">
        <v>91</v>
      </c>
      <c r="F245">
        <v>4</v>
      </c>
      <c r="G245">
        <v>159</v>
      </c>
    </row>
    <row r="246" spans="1:7" x14ac:dyDescent="0.25">
      <c r="A246">
        <v>3</v>
      </c>
      <c r="B246" t="s">
        <v>10</v>
      </c>
      <c r="C246" t="s">
        <v>78</v>
      </c>
      <c r="D246">
        <v>1998</v>
      </c>
      <c r="E246" t="s">
        <v>91</v>
      </c>
      <c r="F246">
        <v>78</v>
      </c>
      <c r="G246">
        <v>1788.449989</v>
      </c>
    </row>
    <row r="247" spans="1:7" x14ac:dyDescent="0.25">
      <c r="A247">
        <v>6</v>
      </c>
      <c r="B247" t="s">
        <v>7</v>
      </c>
      <c r="C247" t="s">
        <v>80</v>
      </c>
      <c r="D247">
        <v>1998</v>
      </c>
      <c r="E247" t="s">
        <v>85</v>
      </c>
      <c r="F247">
        <v>30</v>
      </c>
      <c r="G247">
        <v>269.99999960000002</v>
      </c>
    </row>
    <row r="248" spans="1:7" x14ac:dyDescent="0.25">
      <c r="A248">
        <v>4</v>
      </c>
      <c r="B248" t="s">
        <v>19</v>
      </c>
      <c r="C248" t="s">
        <v>81</v>
      </c>
      <c r="D248">
        <v>1998</v>
      </c>
      <c r="E248" t="s">
        <v>89</v>
      </c>
      <c r="F248">
        <v>33</v>
      </c>
      <c r="G248">
        <v>619.5</v>
      </c>
    </row>
    <row r="249" spans="1:7" x14ac:dyDescent="0.25">
      <c r="A249">
        <v>1</v>
      </c>
      <c r="B249" t="s">
        <v>19</v>
      </c>
      <c r="C249" t="s">
        <v>81</v>
      </c>
      <c r="D249">
        <v>1998</v>
      </c>
      <c r="E249" t="s">
        <v>88</v>
      </c>
      <c r="F249">
        <v>3</v>
      </c>
      <c r="G249">
        <v>33.75</v>
      </c>
    </row>
    <row r="250" spans="1:7" x14ac:dyDescent="0.25">
      <c r="A250">
        <v>9</v>
      </c>
      <c r="B250" t="s">
        <v>13</v>
      </c>
      <c r="C250" t="s">
        <v>81</v>
      </c>
      <c r="D250">
        <v>1998</v>
      </c>
      <c r="E250" t="s">
        <v>88</v>
      </c>
      <c r="F250">
        <v>20</v>
      </c>
      <c r="G250">
        <v>341.99999969999999</v>
      </c>
    </row>
    <row r="251" spans="1:7" x14ac:dyDescent="0.25">
      <c r="A251">
        <v>7</v>
      </c>
      <c r="B251" t="s">
        <v>7</v>
      </c>
      <c r="C251" t="s">
        <v>81</v>
      </c>
      <c r="D251">
        <v>1998</v>
      </c>
      <c r="E251" t="s">
        <v>91</v>
      </c>
      <c r="F251">
        <v>20</v>
      </c>
      <c r="G251">
        <v>140</v>
      </c>
    </row>
    <row r="252" spans="1:7" x14ac:dyDescent="0.25">
      <c r="A252">
        <v>3</v>
      </c>
      <c r="B252" t="s">
        <v>10</v>
      </c>
      <c r="C252" t="s">
        <v>82</v>
      </c>
      <c r="D252">
        <v>1998</v>
      </c>
      <c r="E252" t="s">
        <v>88</v>
      </c>
      <c r="F252">
        <v>50</v>
      </c>
      <c r="G252">
        <v>1924.25</v>
      </c>
    </row>
    <row r="253" spans="1:7" x14ac:dyDescent="0.25">
      <c r="A253">
        <v>4</v>
      </c>
      <c r="B253" t="s">
        <v>19</v>
      </c>
      <c r="C253" t="s">
        <v>82</v>
      </c>
      <c r="D253">
        <v>1998</v>
      </c>
      <c r="E253" t="s">
        <v>91</v>
      </c>
      <c r="F253">
        <v>140</v>
      </c>
      <c r="G253">
        <v>3523.4</v>
      </c>
    </row>
    <row r="254" spans="1:7" x14ac:dyDescent="0.25">
      <c r="A254">
        <v>7</v>
      </c>
      <c r="B254" t="s">
        <v>7</v>
      </c>
      <c r="C254" t="s">
        <v>82</v>
      </c>
      <c r="D254">
        <v>1998</v>
      </c>
      <c r="E254" t="s">
        <v>87</v>
      </c>
      <c r="F254">
        <v>80</v>
      </c>
      <c r="G254">
        <v>928.75</v>
      </c>
    </row>
    <row r="255" spans="1:7" x14ac:dyDescent="0.25">
      <c r="A255">
        <v>2</v>
      </c>
      <c r="B255" t="s">
        <v>19</v>
      </c>
      <c r="C255" t="s">
        <v>82</v>
      </c>
      <c r="D255">
        <v>1998</v>
      </c>
      <c r="E255" t="s">
        <v>85</v>
      </c>
      <c r="F255">
        <v>90</v>
      </c>
      <c r="G255">
        <v>8902.5</v>
      </c>
    </row>
    <row r="256" spans="1:7" x14ac:dyDescent="0.25">
      <c r="A256">
        <v>1</v>
      </c>
      <c r="B256" t="s">
        <v>19</v>
      </c>
      <c r="C256" t="s">
        <v>110</v>
      </c>
      <c r="D256">
        <v>1998</v>
      </c>
      <c r="E256" t="s">
        <v>88</v>
      </c>
      <c r="F256">
        <v>27</v>
      </c>
      <c r="G256">
        <v>452.9</v>
      </c>
    </row>
    <row r="257" spans="1:7" x14ac:dyDescent="0.25">
      <c r="A257">
        <v>4</v>
      </c>
      <c r="B257" t="s">
        <v>19</v>
      </c>
      <c r="C257" t="s">
        <v>110</v>
      </c>
      <c r="D257">
        <v>1998</v>
      </c>
      <c r="E257" t="s">
        <v>88</v>
      </c>
      <c r="F257">
        <v>23</v>
      </c>
      <c r="G257">
        <v>336.8</v>
      </c>
    </row>
    <row r="258" spans="1:7" x14ac:dyDescent="0.25">
      <c r="A258">
        <v>3</v>
      </c>
      <c r="B258" t="s">
        <v>10</v>
      </c>
      <c r="C258" t="s">
        <v>110</v>
      </c>
      <c r="D258">
        <v>1998</v>
      </c>
      <c r="E258" t="s">
        <v>88</v>
      </c>
      <c r="F258">
        <v>32</v>
      </c>
      <c r="G258">
        <v>611.29999999999995</v>
      </c>
    </row>
    <row r="259" spans="1:7" x14ac:dyDescent="0.25">
      <c r="A259">
        <v>2</v>
      </c>
      <c r="B259" t="s">
        <v>19</v>
      </c>
      <c r="C259" t="s">
        <v>110</v>
      </c>
      <c r="D259">
        <v>1998</v>
      </c>
      <c r="E259" t="s">
        <v>85</v>
      </c>
      <c r="F259">
        <v>12</v>
      </c>
      <c r="G259">
        <v>586</v>
      </c>
    </row>
    <row r="260" spans="1:7" x14ac:dyDescent="0.25">
      <c r="A260">
        <v>4</v>
      </c>
      <c r="B260" t="s">
        <v>19</v>
      </c>
      <c r="C260" t="s">
        <v>83</v>
      </c>
      <c r="D260">
        <v>1998</v>
      </c>
      <c r="E260" t="s">
        <v>88</v>
      </c>
      <c r="F260">
        <v>15</v>
      </c>
      <c r="G260">
        <v>427.5</v>
      </c>
    </row>
    <row r="261" spans="1:7" x14ac:dyDescent="0.25">
      <c r="A261">
        <v>4</v>
      </c>
      <c r="B261" t="s">
        <v>19</v>
      </c>
      <c r="C261" t="s">
        <v>83</v>
      </c>
      <c r="D261">
        <v>1998</v>
      </c>
      <c r="E261" t="s">
        <v>85</v>
      </c>
      <c r="F261">
        <v>12</v>
      </c>
      <c r="G261">
        <v>591.6</v>
      </c>
    </row>
    <row r="262" spans="1:7" x14ac:dyDescent="0.25">
      <c r="A262">
        <v>8</v>
      </c>
      <c r="B262" t="s">
        <v>13</v>
      </c>
      <c r="C262" t="s">
        <v>83</v>
      </c>
      <c r="D262">
        <v>1998</v>
      </c>
      <c r="E262" t="s">
        <v>85</v>
      </c>
      <c r="F262">
        <v>69</v>
      </c>
      <c r="G262">
        <v>686</v>
      </c>
    </row>
    <row r="263" spans="1:7" x14ac:dyDescent="0.25">
      <c r="A263">
        <v>5</v>
      </c>
      <c r="B263" t="s">
        <v>19</v>
      </c>
      <c r="C263" t="s">
        <v>83</v>
      </c>
      <c r="D263">
        <v>1998</v>
      </c>
      <c r="E263" t="s">
        <v>88</v>
      </c>
      <c r="F263">
        <v>5</v>
      </c>
      <c r="G263">
        <v>160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379EE-0D97-40CD-955A-65023094F767}">
  <dimension ref="A1:G397"/>
  <sheetViews>
    <sheetView workbookViewId="0"/>
  </sheetViews>
  <sheetFormatPr defaultRowHeight="15" x14ac:dyDescent="0.25"/>
  <cols>
    <col min="1" max="1" width="14.28515625" bestFit="1" customWidth="1"/>
    <col min="2" max="2" width="20.42578125" bestFit="1" customWidth="1"/>
    <col min="3" max="3" width="33.85546875" bestFit="1" customWidth="1"/>
    <col min="4" max="4" width="7.28515625" bestFit="1" customWidth="1"/>
    <col min="5" max="5" width="10.28515625" bestFit="1" customWidth="1"/>
    <col min="6" max="6" width="16" bestFit="1" customWidth="1"/>
    <col min="7" max="7" width="13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4</v>
      </c>
      <c r="B2" t="s">
        <v>19</v>
      </c>
      <c r="C2" t="s">
        <v>84</v>
      </c>
      <c r="D2">
        <v>1997</v>
      </c>
      <c r="E2" t="s">
        <v>23</v>
      </c>
      <c r="F2">
        <v>41</v>
      </c>
      <c r="G2">
        <v>1208</v>
      </c>
    </row>
    <row r="3" spans="1:7" x14ac:dyDescent="0.25">
      <c r="A3">
        <v>6</v>
      </c>
      <c r="B3" t="s">
        <v>7</v>
      </c>
      <c r="C3" t="s">
        <v>84</v>
      </c>
      <c r="D3">
        <v>1997</v>
      </c>
      <c r="E3" t="s">
        <v>17</v>
      </c>
      <c r="F3">
        <v>38</v>
      </c>
      <c r="G3">
        <v>814.5</v>
      </c>
    </row>
    <row r="4" spans="1:7" x14ac:dyDescent="0.25">
      <c r="A4">
        <v>3</v>
      </c>
      <c r="B4" t="s">
        <v>10</v>
      </c>
      <c r="C4" t="s">
        <v>8</v>
      </c>
      <c r="D4">
        <v>1997</v>
      </c>
      <c r="E4" t="s">
        <v>17</v>
      </c>
      <c r="F4">
        <v>18</v>
      </c>
      <c r="G4">
        <v>479.75</v>
      </c>
    </row>
    <row r="5" spans="1:7" x14ac:dyDescent="0.25">
      <c r="A5">
        <v>3</v>
      </c>
      <c r="B5" t="s">
        <v>10</v>
      </c>
      <c r="C5" t="s">
        <v>8</v>
      </c>
      <c r="D5">
        <v>1997</v>
      </c>
      <c r="E5" t="s">
        <v>12</v>
      </c>
      <c r="F5">
        <v>10</v>
      </c>
      <c r="G5">
        <v>320</v>
      </c>
    </row>
    <row r="6" spans="1:7" x14ac:dyDescent="0.25">
      <c r="A6">
        <v>1</v>
      </c>
      <c r="B6" t="s">
        <v>19</v>
      </c>
      <c r="C6" t="s">
        <v>11</v>
      </c>
      <c r="D6">
        <v>1997</v>
      </c>
      <c r="E6" t="s">
        <v>9</v>
      </c>
      <c r="F6">
        <v>38</v>
      </c>
      <c r="G6">
        <v>813.36499430000003</v>
      </c>
    </row>
    <row r="7" spans="1:7" x14ac:dyDescent="0.25">
      <c r="A7">
        <v>7</v>
      </c>
      <c r="B7" t="s">
        <v>7</v>
      </c>
      <c r="C7" t="s">
        <v>11</v>
      </c>
      <c r="D7">
        <v>1997</v>
      </c>
      <c r="E7" t="s">
        <v>85</v>
      </c>
      <c r="F7">
        <v>30</v>
      </c>
      <c r="G7">
        <v>749.0624947</v>
      </c>
    </row>
    <row r="8" spans="1:7" x14ac:dyDescent="0.25">
      <c r="A8">
        <v>7</v>
      </c>
      <c r="B8" t="s">
        <v>7</v>
      </c>
      <c r="C8" t="s">
        <v>11</v>
      </c>
      <c r="D8">
        <v>1997</v>
      </c>
      <c r="E8" t="s">
        <v>86</v>
      </c>
      <c r="F8">
        <v>83</v>
      </c>
      <c r="G8">
        <v>2082</v>
      </c>
    </row>
    <row r="9" spans="1:7" x14ac:dyDescent="0.25">
      <c r="A9">
        <v>3</v>
      </c>
      <c r="B9" t="s">
        <v>10</v>
      </c>
      <c r="C9" t="s">
        <v>11</v>
      </c>
      <c r="D9">
        <v>1997</v>
      </c>
      <c r="E9" t="s">
        <v>9</v>
      </c>
      <c r="F9">
        <v>64</v>
      </c>
      <c r="G9">
        <v>375.5</v>
      </c>
    </row>
    <row r="10" spans="1:7" x14ac:dyDescent="0.25">
      <c r="A10">
        <v>4</v>
      </c>
      <c r="B10" t="s">
        <v>19</v>
      </c>
      <c r="C10" t="s">
        <v>11</v>
      </c>
      <c r="D10">
        <v>1997</v>
      </c>
      <c r="E10" t="s">
        <v>87</v>
      </c>
      <c r="F10">
        <v>80</v>
      </c>
      <c r="G10">
        <v>1940.849997</v>
      </c>
    </row>
    <row r="11" spans="1:7" x14ac:dyDescent="0.25">
      <c r="A11">
        <v>3</v>
      </c>
      <c r="B11" t="s">
        <v>10</v>
      </c>
      <c r="C11" t="s">
        <v>14</v>
      </c>
      <c r="D11">
        <v>1997</v>
      </c>
      <c r="E11" t="s">
        <v>15</v>
      </c>
      <c r="F11">
        <v>103</v>
      </c>
      <c r="G11">
        <v>1668.1</v>
      </c>
    </row>
    <row r="12" spans="1:7" x14ac:dyDescent="0.25">
      <c r="A12">
        <v>1</v>
      </c>
      <c r="B12" t="s">
        <v>19</v>
      </c>
      <c r="C12" t="s">
        <v>14</v>
      </c>
      <c r="D12">
        <v>1997</v>
      </c>
      <c r="E12" t="s">
        <v>12</v>
      </c>
      <c r="F12">
        <v>28</v>
      </c>
      <c r="G12">
        <v>319.19999969999998</v>
      </c>
    </row>
    <row r="13" spans="1:7" x14ac:dyDescent="0.25">
      <c r="A13">
        <v>4</v>
      </c>
      <c r="B13" t="s">
        <v>19</v>
      </c>
      <c r="C13" t="s">
        <v>14</v>
      </c>
      <c r="D13">
        <v>1997</v>
      </c>
      <c r="E13" t="s">
        <v>23</v>
      </c>
      <c r="F13">
        <v>89</v>
      </c>
      <c r="G13">
        <v>1640.9999969999999</v>
      </c>
    </row>
    <row r="14" spans="1:7" x14ac:dyDescent="0.25">
      <c r="A14">
        <v>1</v>
      </c>
      <c r="B14" t="s">
        <v>19</v>
      </c>
      <c r="C14" t="s">
        <v>14</v>
      </c>
      <c r="D14">
        <v>1997</v>
      </c>
      <c r="E14" t="s">
        <v>88</v>
      </c>
      <c r="F14">
        <v>40</v>
      </c>
      <c r="G14">
        <v>407.6999993</v>
      </c>
    </row>
    <row r="15" spans="1:7" x14ac:dyDescent="0.25">
      <c r="A15">
        <v>1</v>
      </c>
      <c r="B15" t="s">
        <v>19</v>
      </c>
      <c r="C15" t="s">
        <v>14</v>
      </c>
      <c r="D15">
        <v>1997</v>
      </c>
      <c r="E15" t="s">
        <v>86</v>
      </c>
      <c r="F15">
        <v>96</v>
      </c>
      <c r="G15">
        <v>2142.9</v>
      </c>
    </row>
    <row r="16" spans="1:7" x14ac:dyDescent="0.25">
      <c r="A16">
        <v>4</v>
      </c>
      <c r="B16" t="s">
        <v>19</v>
      </c>
      <c r="C16" t="s">
        <v>14</v>
      </c>
      <c r="D16">
        <v>1997</v>
      </c>
      <c r="E16" t="s">
        <v>12</v>
      </c>
      <c r="F16">
        <v>15</v>
      </c>
      <c r="G16">
        <v>227.99999919999999</v>
      </c>
    </row>
    <row r="17" spans="1:7" x14ac:dyDescent="0.25">
      <c r="A17">
        <v>6</v>
      </c>
      <c r="B17" t="s">
        <v>7</v>
      </c>
      <c r="C17" t="s">
        <v>16</v>
      </c>
      <c r="D17">
        <v>1997</v>
      </c>
      <c r="E17" t="s">
        <v>21</v>
      </c>
      <c r="F17">
        <v>10</v>
      </c>
      <c r="G17">
        <v>493</v>
      </c>
    </row>
    <row r="18" spans="1:7" x14ac:dyDescent="0.25">
      <c r="A18">
        <v>4</v>
      </c>
      <c r="B18" t="s">
        <v>19</v>
      </c>
      <c r="C18" t="s">
        <v>16</v>
      </c>
      <c r="D18">
        <v>1997</v>
      </c>
      <c r="E18" t="s">
        <v>86</v>
      </c>
      <c r="F18">
        <v>26</v>
      </c>
      <c r="G18">
        <v>477</v>
      </c>
    </row>
    <row r="19" spans="1:7" x14ac:dyDescent="0.25">
      <c r="A19">
        <v>3</v>
      </c>
      <c r="B19" t="s">
        <v>10</v>
      </c>
      <c r="C19" t="s">
        <v>16</v>
      </c>
      <c r="D19">
        <v>1997</v>
      </c>
      <c r="E19" t="s">
        <v>89</v>
      </c>
      <c r="F19">
        <v>27</v>
      </c>
      <c r="G19">
        <v>386.2</v>
      </c>
    </row>
    <row r="20" spans="1:7" x14ac:dyDescent="0.25">
      <c r="A20">
        <v>6</v>
      </c>
      <c r="B20" t="s">
        <v>7</v>
      </c>
      <c r="C20" t="s">
        <v>16</v>
      </c>
      <c r="D20">
        <v>1997</v>
      </c>
      <c r="E20" t="s">
        <v>87</v>
      </c>
      <c r="F20">
        <v>44</v>
      </c>
      <c r="G20">
        <v>355.5</v>
      </c>
    </row>
    <row r="21" spans="1:7" x14ac:dyDescent="0.25">
      <c r="A21">
        <v>2</v>
      </c>
      <c r="B21" t="s">
        <v>19</v>
      </c>
      <c r="C21" t="s">
        <v>16</v>
      </c>
      <c r="D21">
        <v>1997</v>
      </c>
      <c r="E21" t="s">
        <v>89</v>
      </c>
      <c r="F21">
        <v>50</v>
      </c>
      <c r="G21">
        <v>1328</v>
      </c>
    </row>
    <row r="22" spans="1:7" x14ac:dyDescent="0.25">
      <c r="A22">
        <v>9</v>
      </c>
      <c r="B22" t="s">
        <v>13</v>
      </c>
      <c r="C22" t="s">
        <v>16</v>
      </c>
      <c r="D22">
        <v>1997</v>
      </c>
      <c r="E22" t="s">
        <v>87</v>
      </c>
      <c r="F22">
        <v>8</v>
      </c>
      <c r="G22">
        <v>139.80000000000001</v>
      </c>
    </row>
    <row r="23" spans="1:7" x14ac:dyDescent="0.25">
      <c r="A23">
        <v>3</v>
      </c>
      <c r="B23" t="s">
        <v>10</v>
      </c>
      <c r="C23" t="s">
        <v>18</v>
      </c>
      <c r="D23">
        <v>1997</v>
      </c>
      <c r="E23" t="s">
        <v>88</v>
      </c>
      <c r="F23">
        <v>84</v>
      </c>
      <c r="G23">
        <v>1206.5999999999999</v>
      </c>
    </row>
    <row r="24" spans="1:7" x14ac:dyDescent="0.25">
      <c r="A24">
        <v>1</v>
      </c>
      <c r="B24" t="s">
        <v>19</v>
      </c>
      <c r="C24" t="s">
        <v>18</v>
      </c>
      <c r="D24">
        <v>1997</v>
      </c>
      <c r="E24" t="s">
        <v>87</v>
      </c>
      <c r="F24">
        <v>87</v>
      </c>
      <c r="G24">
        <v>3192.65</v>
      </c>
    </row>
    <row r="25" spans="1:7" x14ac:dyDescent="0.25">
      <c r="A25">
        <v>3</v>
      </c>
      <c r="B25" t="s">
        <v>10</v>
      </c>
      <c r="C25" t="s">
        <v>18</v>
      </c>
      <c r="D25">
        <v>1997</v>
      </c>
      <c r="E25" t="s">
        <v>15</v>
      </c>
      <c r="F25">
        <v>10</v>
      </c>
      <c r="G25">
        <v>96.5</v>
      </c>
    </row>
    <row r="26" spans="1:7" x14ac:dyDescent="0.25">
      <c r="A26">
        <v>1</v>
      </c>
      <c r="B26" t="s">
        <v>19</v>
      </c>
      <c r="C26" t="s">
        <v>18</v>
      </c>
      <c r="D26">
        <v>1997</v>
      </c>
      <c r="E26" t="s">
        <v>23</v>
      </c>
      <c r="F26">
        <v>35</v>
      </c>
      <c r="G26">
        <v>472.5</v>
      </c>
    </row>
    <row r="27" spans="1:7" x14ac:dyDescent="0.25">
      <c r="A27">
        <v>5</v>
      </c>
      <c r="B27" t="s">
        <v>19</v>
      </c>
      <c r="C27" t="s">
        <v>18</v>
      </c>
      <c r="D27">
        <v>1997</v>
      </c>
      <c r="E27" t="s">
        <v>9</v>
      </c>
      <c r="F27">
        <v>38</v>
      </c>
      <c r="G27">
        <v>601.82999900000004</v>
      </c>
    </row>
    <row r="28" spans="1:7" x14ac:dyDescent="0.25">
      <c r="A28">
        <v>1</v>
      </c>
      <c r="B28" t="s">
        <v>19</v>
      </c>
      <c r="C28" t="s">
        <v>18</v>
      </c>
      <c r="D28">
        <v>1997</v>
      </c>
      <c r="E28" t="s">
        <v>12</v>
      </c>
      <c r="F28">
        <v>61</v>
      </c>
      <c r="G28">
        <v>1459</v>
      </c>
    </row>
    <row r="29" spans="1:7" x14ac:dyDescent="0.25">
      <c r="A29">
        <v>9</v>
      </c>
      <c r="B29" t="s">
        <v>13</v>
      </c>
      <c r="C29" t="s">
        <v>18</v>
      </c>
      <c r="D29">
        <v>1997</v>
      </c>
      <c r="E29" t="s">
        <v>9</v>
      </c>
      <c r="F29">
        <v>27</v>
      </c>
      <c r="G29">
        <v>3815.2499939999998</v>
      </c>
    </row>
    <row r="30" spans="1:7" x14ac:dyDescent="0.25">
      <c r="A30">
        <v>3</v>
      </c>
      <c r="B30" t="s">
        <v>10</v>
      </c>
      <c r="C30" t="s">
        <v>18</v>
      </c>
      <c r="D30">
        <v>1997</v>
      </c>
      <c r="E30" t="s">
        <v>86</v>
      </c>
      <c r="F30">
        <v>87</v>
      </c>
      <c r="G30">
        <v>1501.0849989999999</v>
      </c>
    </row>
    <row r="31" spans="1:7" x14ac:dyDescent="0.25">
      <c r="A31">
        <v>1</v>
      </c>
      <c r="B31" t="s">
        <v>19</v>
      </c>
      <c r="C31" t="s">
        <v>18</v>
      </c>
      <c r="D31">
        <v>1997</v>
      </c>
      <c r="E31" t="s">
        <v>17</v>
      </c>
      <c r="F31">
        <v>52</v>
      </c>
      <c r="G31">
        <v>1503.6</v>
      </c>
    </row>
    <row r="32" spans="1:7" x14ac:dyDescent="0.25">
      <c r="A32">
        <v>4</v>
      </c>
      <c r="B32" t="s">
        <v>19</v>
      </c>
      <c r="C32" t="s">
        <v>90</v>
      </c>
      <c r="D32">
        <v>1997</v>
      </c>
      <c r="E32" t="s">
        <v>85</v>
      </c>
      <c r="F32">
        <v>3</v>
      </c>
      <c r="G32">
        <v>136.80000000000001</v>
      </c>
    </row>
    <row r="33" spans="1:7" x14ac:dyDescent="0.25">
      <c r="A33">
        <v>9</v>
      </c>
      <c r="B33" t="s">
        <v>13</v>
      </c>
      <c r="C33" t="s">
        <v>90</v>
      </c>
      <c r="D33">
        <v>1997</v>
      </c>
      <c r="E33" t="s">
        <v>85</v>
      </c>
      <c r="F33">
        <v>20</v>
      </c>
      <c r="G33">
        <v>149</v>
      </c>
    </row>
    <row r="34" spans="1:7" x14ac:dyDescent="0.25">
      <c r="A34">
        <v>8</v>
      </c>
      <c r="B34" t="s">
        <v>13</v>
      </c>
      <c r="C34" t="s">
        <v>90</v>
      </c>
      <c r="D34">
        <v>1997</v>
      </c>
      <c r="E34" t="s">
        <v>21</v>
      </c>
      <c r="F34">
        <v>27</v>
      </c>
      <c r="G34">
        <v>464</v>
      </c>
    </row>
    <row r="35" spans="1:7" x14ac:dyDescent="0.25">
      <c r="A35">
        <v>3</v>
      </c>
      <c r="B35" t="s">
        <v>10</v>
      </c>
      <c r="C35" t="s">
        <v>90</v>
      </c>
      <c r="D35">
        <v>1997</v>
      </c>
      <c r="E35" t="s">
        <v>86</v>
      </c>
      <c r="F35">
        <v>18</v>
      </c>
      <c r="G35">
        <v>330</v>
      </c>
    </row>
    <row r="36" spans="1:7" x14ac:dyDescent="0.25">
      <c r="A36">
        <v>3</v>
      </c>
      <c r="B36" t="s">
        <v>10</v>
      </c>
      <c r="C36" t="s">
        <v>20</v>
      </c>
      <c r="D36">
        <v>1997</v>
      </c>
      <c r="E36" t="s">
        <v>88</v>
      </c>
      <c r="F36">
        <v>168</v>
      </c>
      <c r="G36">
        <v>3832.7199970000001</v>
      </c>
    </row>
    <row r="37" spans="1:7" x14ac:dyDescent="0.25">
      <c r="A37">
        <v>6</v>
      </c>
      <c r="B37" t="s">
        <v>7</v>
      </c>
      <c r="C37" t="s">
        <v>20</v>
      </c>
      <c r="D37">
        <v>1997</v>
      </c>
      <c r="E37" t="s">
        <v>86</v>
      </c>
      <c r="F37">
        <v>30</v>
      </c>
      <c r="G37">
        <v>520.40999959999999</v>
      </c>
    </row>
    <row r="38" spans="1:7" x14ac:dyDescent="0.25">
      <c r="A38">
        <v>4</v>
      </c>
      <c r="B38" t="s">
        <v>19</v>
      </c>
      <c r="C38" t="s">
        <v>20</v>
      </c>
      <c r="D38">
        <v>1997</v>
      </c>
      <c r="E38" t="s">
        <v>17</v>
      </c>
      <c r="F38">
        <v>25</v>
      </c>
      <c r="G38">
        <v>450</v>
      </c>
    </row>
    <row r="39" spans="1:7" x14ac:dyDescent="0.25">
      <c r="A39">
        <v>4</v>
      </c>
      <c r="B39" t="s">
        <v>19</v>
      </c>
      <c r="C39" t="s">
        <v>20</v>
      </c>
      <c r="D39">
        <v>1997</v>
      </c>
      <c r="E39" t="s">
        <v>86</v>
      </c>
      <c r="F39">
        <v>50</v>
      </c>
      <c r="G39">
        <v>593.74999949999994</v>
      </c>
    </row>
    <row r="40" spans="1:7" x14ac:dyDescent="0.25">
      <c r="A40">
        <v>9</v>
      </c>
      <c r="B40" t="s">
        <v>13</v>
      </c>
      <c r="C40" t="s">
        <v>20</v>
      </c>
      <c r="D40">
        <v>1997</v>
      </c>
      <c r="E40" t="s">
        <v>86</v>
      </c>
      <c r="F40">
        <v>63</v>
      </c>
      <c r="G40">
        <v>1760.9999889999999</v>
      </c>
    </row>
    <row r="41" spans="1:7" x14ac:dyDescent="0.25">
      <c r="A41">
        <v>8</v>
      </c>
      <c r="B41" t="s">
        <v>13</v>
      </c>
      <c r="C41" t="s">
        <v>20</v>
      </c>
      <c r="D41">
        <v>1997</v>
      </c>
      <c r="E41" t="s">
        <v>9</v>
      </c>
      <c r="F41">
        <v>12</v>
      </c>
      <c r="G41">
        <v>660</v>
      </c>
    </row>
    <row r="42" spans="1:7" x14ac:dyDescent="0.25">
      <c r="A42">
        <v>3</v>
      </c>
      <c r="B42" t="s">
        <v>10</v>
      </c>
      <c r="C42" t="s">
        <v>22</v>
      </c>
      <c r="D42">
        <v>1997</v>
      </c>
      <c r="E42" t="s">
        <v>12</v>
      </c>
      <c r="F42">
        <v>20</v>
      </c>
      <c r="G42">
        <v>360</v>
      </c>
    </row>
    <row r="43" spans="1:7" x14ac:dyDescent="0.25">
      <c r="A43">
        <v>4</v>
      </c>
      <c r="B43" t="s">
        <v>19</v>
      </c>
      <c r="C43" t="s">
        <v>22</v>
      </c>
      <c r="D43">
        <v>1997</v>
      </c>
      <c r="E43" t="s">
        <v>12</v>
      </c>
      <c r="F43">
        <v>99</v>
      </c>
      <c r="G43">
        <v>1948.5</v>
      </c>
    </row>
    <row r="44" spans="1:7" x14ac:dyDescent="0.25">
      <c r="A44">
        <v>4</v>
      </c>
      <c r="B44" t="s">
        <v>19</v>
      </c>
      <c r="C44" t="s">
        <v>22</v>
      </c>
      <c r="D44">
        <v>1997</v>
      </c>
      <c r="E44" t="s">
        <v>85</v>
      </c>
      <c r="F44">
        <v>110</v>
      </c>
      <c r="G44">
        <v>2549.9999819999998</v>
      </c>
    </row>
    <row r="45" spans="1:7" x14ac:dyDescent="0.25">
      <c r="A45">
        <v>4</v>
      </c>
      <c r="B45" t="s">
        <v>19</v>
      </c>
      <c r="C45" t="s">
        <v>22</v>
      </c>
      <c r="D45">
        <v>1997</v>
      </c>
      <c r="E45" t="s">
        <v>89</v>
      </c>
      <c r="F45">
        <v>53</v>
      </c>
      <c r="G45">
        <v>1820.8</v>
      </c>
    </row>
    <row r="46" spans="1:7" x14ac:dyDescent="0.25">
      <c r="A46">
        <v>1</v>
      </c>
      <c r="B46" t="s">
        <v>19</v>
      </c>
      <c r="C46" t="s">
        <v>22</v>
      </c>
      <c r="D46">
        <v>1997</v>
      </c>
      <c r="E46" t="s">
        <v>87</v>
      </c>
      <c r="F46">
        <v>45</v>
      </c>
      <c r="G46">
        <v>818.3999996</v>
      </c>
    </row>
    <row r="47" spans="1:7" x14ac:dyDescent="0.25">
      <c r="A47">
        <v>3</v>
      </c>
      <c r="B47" t="s">
        <v>10</v>
      </c>
      <c r="C47" t="s">
        <v>22</v>
      </c>
      <c r="D47">
        <v>1997</v>
      </c>
      <c r="E47" t="s">
        <v>23</v>
      </c>
      <c r="F47">
        <v>51</v>
      </c>
      <c r="G47">
        <v>1296</v>
      </c>
    </row>
    <row r="48" spans="1:7" x14ac:dyDescent="0.25">
      <c r="A48">
        <v>5</v>
      </c>
      <c r="B48" t="s">
        <v>19</v>
      </c>
      <c r="C48" t="s">
        <v>22</v>
      </c>
      <c r="D48">
        <v>1997</v>
      </c>
      <c r="E48" t="s">
        <v>12</v>
      </c>
      <c r="F48">
        <v>28</v>
      </c>
      <c r="G48">
        <v>484.26249960000001</v>
      </c>
    </row>
    <row r="49" spans="1:7" x14ac:dyDescent="0.25">
      <c r="A49">
        <v>2</v>
      </c>
      <c r="B49" t="s">
        <v>19</v>
      </c>
      <c r="C49" t="s">
        <v>22</v>
      </c>
      <c r="D49">
        <v>1997</v>
      </c>
      <c r="E49" t="s">
        <v>9</v>
      </c>
      <c r="F49">
        <v>80</v>
      </c>
      <c r="G49">
        <v>1930.3999980000001</v>
      </c>
    </row>
    <row r="50" spans="1:7" x14ac:dyDescent="0.25">
      <c r="A50">
        <v>3</v>
      </c>
      <c r="B50" t="s">
        <v>10</v>
      </c>
      <c r="C50" t="s">
        <v>24</v>
      </c>
      <c r="D50">
        <v>1997</v>
      </c>
      <c r="E50" t="s">
        <v>91</v>
      </c>
      <c r="F50">
        <v>65</v>
      </c>
      <c r="G50">
        <v>802</v>
      </c>
    </row>
    <row r="51" spans="1:7" x14ac:dyDescent="0.25">
      <c r="A51">
        <v>3</v>
      </c>
      <c r="B51" t="s">
        <v>10</v>
      </c>
      <c r="C51" t="s">
        <v>24</v>
      </c>
      <c r="D51">
        <v>1997</v>
      </c>
      <c r="E51" t="s">
        <v>12</v>
      </c>
      <c r="F51">
        <v>105</v>
      </c>
      <c r="G51">
        <v>3118</v>
      </c>
    </row>
    <row r="52" spans="1:7" x14ac:dyDescent="0.25">
      <c r="A52">
        <v>4</v>
      </c>
      <c r="B52" t="s">
        <v>19</v>
      </c>
      <c r="C52" t="s">
        <v>24</v>
      </c>
      <c r="D52">
        <v>1997</v>
      </c>
      <c r="E52" t="s">
        <v>91</v>
      </c>
      <c r="F52">
        <v>130</v>
      </c>
      <c r="G52">
        <v>1892.25</v>
      </c>
    </row>
    <row r="53" spans="1:7" x14ac:dyDescent="0.25">
      <c r="A53">
        <v>3</v>
      </c>
      <c r="B53" t="s">
        <v>10</v>
      </c>
      <c r="C53" t="s">
        <v>24</v>
      </c>
      <c r="D53">
        <v>1997</v>
      </c>
      <c r="E53" t="s">
        <v>85</v>
      </c>
      <c r="F53">
        <v>80</v>
      </c>
      <c r="G53">
        <v>851.19999929999994</v>
      </c>
    </row>
    <row r="54" spans="1:7" x14ac:dyDescent="0.25">
      <c r="A54">
        <v>9</v>
      </c>
      <c r="B54" t="s">
        <v>13</v>
      </c>
      <c r="C54" t="s">
        <v>24</v>
      </c>
      <c r="D54">
        <v>1997</v>
      </c>
      <c r="E54" t="s">
        <v>91</v>
      </c>
      <c r="F54">
        <v>74</v>
      </c>
      <c r="G54">
        <v>966.79999640000005</v>
      </c>
    </row>
    <row r="55" spans="1:7" x14ac:dyDescent="0.25">
      <c r="A55">
        <v>4</v>
      </c>
      <c r="B55" t="s">
        <v>19</v>
      </c>
      <c r="C55" t="s">
        <v>25</v>
      </c>
      <c r="D55">
        <v>1997</v>
      </c>
      <c r="E55" t="s">
        <v>15</v>
      </c>
      <c r="F55">
        <v>60</v>
      </c>
      <c r="G55">
        <v>3026.85</v>
      </c>
    </row>
    <row r="56" spans="1:7" x14ac:dyDescent="0.25">
      <c r="A56">
        <v>9</v>
      </c>
      <c r="B56" t="s">
        <v>13</v>
      </c>
      <c r="C56" t="s">
        <v>92</v>
      </c>
      <c r="D56">
        <v>1997</v>
      </c>
      <c r="E56" t="s">
        <v>15</v>
      </c>
      <c r="F56">
        <v>1</v>
      </c>
      <c r="G56">
        <v>12.5</v>
      </c>
    </row>
    <row r="57" spans="1:7" x14ac:dyDescent="0.25">
      <c r="A57">
        <v>8</v>
      </c>
      <c r="B57" t="s">
        <v>13</v>
      </c>
      <c r="C57" t="s">
        <v>92</v>
      </c>
      <c r="D57">
        <v>1997</v>
      </c>
      <c r="E57" t="s">
        <v>85</v>
      </c>
      <c r="F57">
        <v>19</v>
      </c>
      <c r="G57">
        <v>225.5</v>
      </c>
    </row>
    <row r="58" spans="1:7" x14ac:dyDescent="0.25">
      <c r="A58">
        <v>7</v>
      </c>
      <c r="B58" t="s">
        <v>7</v>
      </c>
      <c r="C58" t="s">
        <v>27</v>
      </c>
      <c r="D58">
        <v>1997</v>
      </c>
      <c r="E58" t="s">
        <v>12</v>
      </c>
      <c r="F58">
        <v>70</v>
      </c>
      <c r="G58">
        <v>1890.4999989999999</v>
      </c>
    </row>
    <row r="59" spans="1:7" x14ac:dyDescent="0.25">
      <c r="A59">
        <v>1</v>
      </c>
      <c r="B59" t="s">
        <v>19</v>
      </c>
      <c r="C59" t="s">
        <v>27</v>
      </c>
      <c r="D59">
        <v>1997</v>
      </c>
      <c r="E59" t="s">
        <v>12</v>
      </c>
      <c r="F59">
        <v>83</v>
      </c>
      <c r="G59">
        <v>2311.6999999999998</v>
      </c>
    </row>
    <row r="60" spans="1:7" x14ac:dyDescent="0.25">
      <c r="A60">
        <v>6</v>
      </c>
      <c r="B60" t="s">
        <v>7</v>
      </c>
      <c r="C60" t="s">
        <v>27</v>
      </c>
      <c r="D60">
        <v>1997</v>
      </c>
      <c r="E60" t="s">
        <v>85</v>
      </c>
      <c r="F60">
        <v>66</v>
      </c>
      <c r="G60">
        <v>2314.1999989999999</v>
      </c>
    </row>
    <row r="61" spans="1:7" x14ac:dyDescent="0.25">
      <c r="A61">
        <v>4</v>
      </c>
      <c r="B61" t="s">
        <v>19</v>
      </c>
      <c r="C61" t="s">
        <v>28</v>
      </c>
      <c r="D61">
        <v>1997</v>
      </c>
      <c r="E61" t="s">
        <v>85</v>
      </c>
      <c r="F61">
        <v>30</v>
      </c>
      <c r="G61">
        <v>912</v>
      </c>
    </row>
    <row r="62" spans="1:7" x14ac:dyDescent="0.25">
      <c r="A62">
        <v>4</v>
      </c>
      <c r="B62" t="s">
        <v>19</v>
      </c>
      <c r="C62" t="s">
        <v>28</v>
      </c>
      <c r="D62">
        <v>1997</v>
      </c>
      <c r="E62" t="s">
        <v>89</v>
      </c>
      <c r="F62">
        <v>15</v>
      </c>
      <c r="G62">
        <v>216</v>
      </c>
    </row>
    <row r="63" spans="1:7" x14ac:dyDescent="0.25">
      <c r="A63">
        <v>8</v>
      </c>
      <c r="B63" t="s">
        <v>13</v>
      </c>
      <c r="C63" t="s">
        <v>93</v>
      </c>
      <c r="D63">
        <v>1997</v>
      </c>
      <c r="E63" t="s">
        <v>88</v>
      </c>
      <c r="F63">
        <v>32</v>
      </c>
      <c r="G63">
        <v>631.6</v>
      </c>
    </row>
    <row r="64" spans="1:7" x14ac:dyDescent="0.25">
      <c r="A64">
        <v>2</v>
      </c>
      <c r="B64" t="s">
        <v>19</v>
      </c>
      <c r="C64" t="s">
        <v>93</v>
      </c>
      <c r="D64">
        <v>1997</v>
      </c>
      <c r="E64" t="s">
        <v>89</v>
      </c>
      <c r="F64">
        <v>22</v>
      </c>
      <c r="G64">
        <v>156</v>
      </c>
    </row>
    <row r="65" spans="1:7" x14ac:dyDescent="0.25">
      <c r="A65">
        <v>8</v>
      </c>
      <c r="B65" t="s">
        <v>13</v>
      </c>
      <c r="C65" t="s">
        <v>29</v>
      </c>
      <c r="D65">
        <v>1997</v>
      </c>
      <c r="E65" t="s">
        <v>17</v>
      </c>
      <c r="F65">
        <v>50</v>
      </c>
      <c r="G65">
        <v>588.99999949999994</v>
      </c>
    </row>
    <row r="66" spans="1:7" x14ac:dyDescent="0.25">
      <c r="A66">
        <v>4</v>
      </c>
      <c r="B66" t="s">
        <v>19</v>
      </c>
      <c r="C66" t="s">
        <v>29</v>
      </c>
      <c r="D66">
        <v>1997</v>
      </c>
      <c r="E66" t="s">
        <v>17</v>
      </c>
      <c r="F66">
        <v>35</v>
      </c>
      <c r="G66">
        <v>708.75</v>
      </c>
    </row>
    <row r="67" spans="1:7" x14ac:dyDescent="0.25">
      <c r="A67">
        <v>8</v>
      </c>
      <c r="B67" t="s">
        <v>13</v>
      </c>
      <c r="C67" t="s">
        <v>29</v>
      </c>
      <c r="D67">
        <v>1997</v>
      </c>
      <c r="E67" t="s">
        <v>9</v>
      </c>
      <c r="F67">
        <v>32</v>
      </c>
      <c r="G67">
        <v>397.8</v>
      </c>
    </row>
    <row r="68" spans="1:7" x14ac:dyDescent="0.25">
      <c r="A68">
        <v>7</v>
      </c>
      <c r="B68" t="s">
        <v>7</v>
      </c>
      <c r="C68" t="s">
        <v>29</v>
      </c>
      <c r="D68">
        <v>1997</v>
      </c>
      <c r="E68" t="s">
        <v>85</v>
      </c>
      <c r="F68">
        <v>105</v>
      </c>
      <c r="G68">
        <v>1941.9999929999999</v>
      </c>
    </row>
    <row r="69" spans="1:7" x14ac:dyDescent="0.25">
      <c r="A69">
        <v>1</v>
      </c>
      <c r="B69" t="s">
        <v>19</v>
      </c>
      <c r="C69" t="s">
        <v>29</v>
      </c>
      <c r="D69">
        <v>1997</v>
      </c>
      <c r="E69" t="s">
        <v>9</v>
      </c>
      <c r="F69">
        <v>27</v>
      </c>
      <c r="G69">
        <v>625.27499899999998</v>
      </c>
    </row>
    <row r="70" spans="1:7" x14ac:dyDescent="0.25">
      <c r="A70">
        <v>7</v>
      </c>
      <c r="B70" t="s">
        <v>7</v>
      </c>
      <c r="C70" t="s">
        <v>30</v>
      </c>
      <c r="D70">
        <v>1997</v>
      </c>
      <c r="E70" t="s">
        <v>15</v>
      </c>
      <c r="F70">
        <v>20</v>
      </c>
      <c r="G70">
        <v>420</v>
      </c>
    </row>
    <row r="71" spans="1:7" x14ac:dyDescent="0.25">
      <c r="A71">
        <v>2</v>
      </c>
      <c r="B71" t="s">
        <v>19</v>
      </c>
      <c r="C71" t="s">
        <v>31</v>
      </c>
      <c r="D71">
        <v>1997</v>
      </c>
      <c r="E71" t="s">
        <v>9</v>
      </c>
      <c r="F71">
        <v>9</v>
      </c>
      <c r="G71">
        <v>63</v>
      </c>
    </row>
    <row r="72" spans="1:7" x14ac:dyDescent="0.25">
      <c r="A72">
        <v>7</v>
      </c>
      <c r="B72" t="s">
        <v>7</v>
      </c>
      <c r="C72" t="s">
        <v>31</v>
      </c>
      <c r="D72">
        <v>1997</v>
      </c>
      <c r="E72" t="s">
        <v>21</v>
      </c>
      <c r="F72">
        <v>19</v>
      </c>
      <c r="G72">
        <v>424</v>
      </c>
    </row>
    <row r="73" spans="1:7" x14ac:dyDescent="0.25">
      <c r="A73">
        <v>4</v>
      </c>
      <c r="B73" t="s">
        <v>19</v>
      </c>
      <c r="C73" t="s">
        <v>32</v>
      </c>
      <c r="D73">
        <v>1997</v>
      </c>
      <c r="E73" t="s">
        <v>12</v>
      </c>
      <c r="F73">
        <v>30</v>
      </c>
      <c r="G73">
        <v>655</v>
      </c>
    </row>
    <row r="74" spans="1:7" x14ac:dyDescent="0.25">
      <c r="A74">
        <v>7</v>
      </c>
      <c r="B74" t="s">
        <v>7</v>
      </c>
      <c r="C74" t="s">
        <v>32</v>
      </c>
      <c r="D74">
        <v>1997</v>
      </c>
      <c r="E74" t="s">
        <v>87</v>
      </c>
      <c r="F74">
        <v>39</v>
      </c>
      <c r="G74">
        <v>796.35</v>
      </c>
    </row>
    <row r="75" spans="1:7" x14ac:dyDescent="0.25">
      <c r="A75">
        <v>1</v>
      </c>
      <c r="B75" t="s">
        <v>19</v>
      </c>
      <c r="C75" t="s">
        <v>32</v>
      </c>
      <c r="D75">
        <v>1997</v>
      </c>
      <c r="E75" t="s">
        <v>91</v>
      </c>
      <c r="F75">
        <v>86</v>
      </c>
      <c r="G75">
        <v>3063</v>
      </c>
    </row>
    <row r="76" spans="1:7" x14ac:dyDescent="0.25">
      <c r="A76">
        <v>2</v>
      </c>
      <c r="B76" t="s">
        <v>19</v>
      </c>
      <c r="C76" t="s">
        <v>33</v>
      </c>
      <c r="D76">
        <v>1997</v>
      </c>
      <c r="E76" t="s">
        <v>21</v>
      </c>
      <c r="F76">
        <v>215</v>
      </c>
      <c r="G76">
        <v>4725</v>
      </c>
    </row>
    <row r="77" spans="1:7" x14ac:dyDescent="0.25">
      <c r="A77">
        <v>4</v>
      </c>
      <c r="B77" t="s">
        <v>19</v>
      </c>
      <c r="C77" t="s">
        <v>33</v>
      </c>
      <c r="D77">
        <v>1997</v>
      </c>
      <c r="E77" t="s">
        <v>23</v>
      </c>
      <c r="F77">
        <v>108</v>
      </c>
      <c r="G77">
        <v>3436.4434980000001</v>
      </c>
    </row>
    <row r="78" spans="1:7" x14ac:dyDescent="0.25">
      <c r="A78">
        <v>4</v>
      </c>
      <c r="B78" t="s">
        <v>19</v>
      </c>
      <c r="C78" t="s">
        <v>33</v>
      </c>
      <c r="D78">
        <v>1997</v>
      </c>
      <c r="E78" t="s">
        <v>91</v>
      </c>
      <c r="F78">
        <v>286</v>
      </c>
      <c r="G78">
        <v>5754.2149810000001</v>
      </c>
    </row>
    <row r="79" spans="1:7" x14ac:dyDescent="0.25">
      <c r="A79">
        <v>6</v>
      </c>
      <c r="B79" t="s">
        <v>7</v>
      </c>
      <c r="C79" t="s">
        <v>33</v>
      </c>
      <c r="D79">
        <v>1997</v>
      </c>
      <c r="E79" t="s">
        <v>15</v>
      </c>
      <c r="F79">
        <v>150</v>
      </c>
      <c r="G79">
        <v>2285.999996</v>
      </c>
    </row>
    <row r="80" spans="1:7" x14ac:dyDescent="0.25">
      <c r="A80">
        <v>8</v>
      </c>
      <c r="B80" t="s">
        <v>13</v>
      </c>
      <c r="C80" t="s">
        <v>33</v>
      </c>
      <c r="D80">
        <v>1997</v>
      </c>
      <c r="E80" t="s">
        <v>15</v>
      </c>
      <c r="F80">
        <v>100</v>
      </c>
      <c r="G80">
        <v>2158</v>
      </c>
    </row>
    <row r="81" spans="1:7" x14ac:dyDescent="0.25">
      <c r="A81">
        <v>9</v>
      </c>
      <c r="B81" t="s">
        <v>13</v>
      </c>
      <c r="C81" t="s">
        <v>33</v>
      </c>
      <c r="D81">
        <v>1997</v>
      </c>
      <c r="E81" t="s">
        <v>15</v>
      </c>
      <c r="F81">
        <v>16</v>
      </c>
      <c r="G81">
        <v>344</v>
      </c>
    </row>
    <row r="82" spans="1:7" x14ac:dyDescent="0.25">
      <c r="A82">
        <v>7</v>
      </c>
      <c r="B82" t="s">
        <v>7</v>
      </c>
      <c r="C82" t="s">
        <v>33</v>
      </c>
      <c r="D82">
        <v>1997</v>
      </c>
      <c r="E82" t="s">
        <v>9</v>
      </c>
      <c r="F82">
        <v>59</v>
      </c>
      <c r="G82">
        <v>1536.799994</v>
      </c>
    </row>
    <row r="83" spans="1:7" x14ac:dyDescent="0.25">
      <c r="A83">
        <v>8</v>
      </c>
      <c r="B83" t="s">
        <v>13</v>
      </c>
      <c r="C83" t="s">
        <v>33</v>
      </c>
      <c r="D83">
        <v>1997</v>
      </c>
      <c r="E83" t="s">
        <v>91</v>
      </c>
      <c r="F83">
        <v>125</v>
      </c>
      <c r="G83">
        <v>2713.5</v>
      </c>
    </row>
    <row r="84" spans="1:7" x14ac:dyDescent="0.25">
      <c r="A84">
        <v>3</v>
      </c>
      <c r="B84" t="s">
        <v>10</v>
      </c>
      <c r="C84" t="s">
        <v>33</v>
      </c>
      <c r="D84">
        <v>1997</v>
      </c>
      <c r="E84" t="s">
        <v>88</v>
      </c>
      <c r="F84">
        <v>170</v>
      </c>
      <c r="G84">
        <v>1792</v>
      </c>
    </row>
    <row r="85" spans="1:7" x14ac:dyDescent="0.25">
      <c r="A85">
        <v>3</v>
      </c>
      <c r="B85" t="s">
        <v>10</v>
      </c>
      <c r="C85" t="s">
        <v>33</v>
      </c>
      <c r="D85">
        <v>1997</v>
      </c>
      <c r="E85" t="s">
        <v>85</v>
      </c>
      <c r="F85">
        <v>233</v>
      </c>
      <c r="G85">
        <v>8623.4500000000007</v>
      </c>
    </row>
    <row r="86" spans="1:7" x14ac:dyDescent="0.25">
      <c r="A86">
        <v>8</v>
      </c>
      <c r="B86" t="s">
        <v>13</v>
      </c>
      <c r="C86" t="s">
        <v>33</v>
      </c>
      <c r="D86">
        <v>1997</v>
      </c>
      <c r="E86" t="s">
        <v>86</v>
      </c>
      <c r="F86">
        <v>39</v>
      </c>
      <c r="G86">
        <v>550.58749609999995</v>
      </c>
    </row>
    <row r="87" spans="1:7" x14ac:dyDescent="0.25">
      <c r="A87">
        <v>1</v>
      </c>
      <c r="B87" t="s">
        <v>19</v>
      </c>
      <c r="C87" t="s">
        <v>33</v>
      </c>
      <c r="D87">
        <v>1997</v>
      </c>
      <c r="E87" t="s">
        <v>15</v>
      </c>
      <c r="F87">
        <v>285</v>
      </c>
      <c r="G87">
        <v>8665.6749920000002</v>
      </c>
    </row>
    <row r="88" spans="1:7" x14ac:dyDescent="0.25">
      <c r="A88">
        <v>7</v>
      </c>
      <c r="B88" t="s">
        <v>7</v>
      </c>
      <c r="C88" t="s">
        <v>33</v>
      </c>
      <c r="D88">
        <v>1997</v>
      </c>
      <c r="E88" t="s">
        <v>17</v>
      </c>
      <c r="F88">
        <v>164</v>
      </c>
      <c r="G88">
        <v>5510.5924610000002</v>
      </c>
    </row>
    <row r="89" spans="1:7" x14ac:dyDescent="0.25">
      <c r="A89">
        <v>5</v>
      </c>
      <c r="B89" t="s">
        <v>19</v>
      </c>
      <c r="C89" t="s">
        <v>34</v>
      </c>
      <c r="D89">
        <v>1997</v>
      </c>
      <c r="E89" t="s">
        <v>17</v>
      </c>
      <c r="F89">
        <v>85</v>
      </c>
      <c r="G89">
        <v>1779.1999989999999</v>
      </c>
    </row>
    <row r="90" spans="1:7" x14ac:dyDescent="0.25">
      <c r="A90">
        <v>4</v>
      </c>
      <c r="B90" t="s">
        <v>19</v>
      </c>
      <c r="C90" t="s">
        <v>34</v>
      </c>
      <c r="D90">
        <v>1997</v>
      </c>
      <c r="E90" t="s">
        <v>23</v>
      </c>
      <c r="F90">
        <v>22</v>
      </c>
      <c r="G90">
        <v>287.8</v>
      </c>
    </row>
    <row r="91" spans="1:7" x14ac:dyDescent="0.25">
      <c r="A91">
        <v>7</v>
      </c>
      <c r="B91" t="s">
        <v>7</v>
      </c>
      <c r="C91" t="s">
        <v>34</v>
      </c>
      <c r="D91">
        <v>1997</v>
      </c>
      <c r="E91" t="s">
        <v>85</v>
      </c>
      <c r="F91">
        <v>37</v>
      </c>
      <c r="G91">
        <v>525.29999629999998</v>
      </c>
    </row>
    <row r="92" spans="1:7" x14ac:dyDescent="0.25">
      <c r="A92">
        <v>2</v>
      </c>
      <c r="B92" t="s">
        <v>19</v>
      </c>
      <c r="C92" t="s">
        <v>34</v>
      </c>
      <c r="D92">
        <v>1997</v>
      </c>
      <c r="E92" t="s">
        <v>91</v>
      </c>
      <c r="F92">
        <v>68</v>
      </c>
      <c r="G92">
        <v>224.82999989999999</v>
      </c>
    </row>
    <row r="93" spans="1:7" x14ac:dyDescent="0.25">
      <c r="A93">
        <v>3</v>
      </c>
      <c r="B93" t="s">
        <v>10</v>
      </c>
      <c r="C93" t="s">
        <v>34</v>
      </c>
      <c r="D93">
        <v>1997</v>
      </c>
      <c r="E93" t="s">
        <v>86</v>
      </c>
      <c r="F93">
        <v>50</v>
      </c>
      <c r="G93">
        <v>309.99999880000001</v>
      </c>
    </row>
    <row r="94" spans="1:7" x14ac:dyDescent="0.25">
      <c r="A94">
        <v>1</v>
      </c>
      <c r="B94" t="s">
        <v>19</v>
      </c>
      <c r="C94" t="s">
        <v>94</v>
      </c>
      <c r="D94">
        <v>1997</v>
      </c>
      <c r="E94" t="s">
        <v>15</v>
      </c>
      <c r="F94">
        <v>93</v>
      </c>
      <c r="G94">
        <v>3687</v>
      </c>
    </row>
    <row r="95" spans="1:7" x14ac:dyDescent="0.25">
      <c r="A95">
        <v>6</v>
      </c>
      <c r="B95" t="s">
        <v>7</v>
      </c>
      <c r="C95" t="s">
        <v>94</v>
      </c>
      <c r="D95">
        <v>1997</v>
      </c>
      <c r="E95" t="s">
        <v>89</v>
      </c>
      <c r="F95">
        <v>42</v>
      </c>
      <c r="G95">
        <v>756</v>
      </c>
    </row>
    <row r="96" spans="1:7" x14ac:dyDescent="0.25">
      <c r="A96">
        <v>4</v>
      </c>
      <c r="B96" t="s">
        <v>19</v>
      </c>
      <c r="C96" t="s">
        <v>94</v>
      </c>
      <c r="D96">
        <v>1997</v>
      </c>
      <c r="E96" t="s">
        <v>17</v>
      </c>
      <c r="F96">
        <v>102</v>
      </c>
      <c r="G96">
        <v>4985.5</v>
      </c>
    </row>
    <row r="97" spans="1:7" x14ac:dyDescent="0.25">
      <c r="A97">
        <v>8</v>
      </c>
      <c r="B97" t="s">
        <v>13</v>
      </c>
      <c r="C97" t="s">
        <v>94</v>
      </c>
      <c r="D97">
        <v>1997</v>
      </c>
      <c r="E97" t="s">
        <v>91</v>
      </c>
      <c r="F97">
        <v>51</v>
      </c>
      <c r="G97">
        <v>1622.4</v>
      </c>
    </row>
    <row r="98" spans="1:7" x14ac:dyDescent="0.25">
      <c r="A98">
        <v>3</v>
      </c>
      <c r="B98" t="s">
        <v>10</v>
      </c>
      <c r="C98" t="s">
        <v>94</v>
      </c>
      <c r="D98">
        <v>1997</v>
      </c>
      <c r="E98" t="s">
        <v>15</v>
      </c>
      <c r="F98">
        <v>66</v>
      </c>
      <c r="G98">
        <v>616</v>
      </c>
    </row>
    <row r="99" spans="1:7" x14ac:dyDescent="0.25">
      <c r="A99">
        <v>4</v>
      </c>
      <c r="B99" t="s">
        <v>19</v>
      </c>
      <c r="C99" t="s">
        <v>35</v>
      </c>
      <c r="D99">
        <v>1997</v>
      </c>
      <c r="E99" t="s">
        <v>15</v>
      </c>
      <c r="F99">
        <v>52</v>
      </c>
      <c r="G99">
        <v>868.75</v>
      </c>
    </row>
    <row r="100" spans="1:7" x14ac:dyDescent="0.25">
      <c r="A100">
        <v>3</v>
      </c>
      <c r="B100" t="s">
        <v>10</v>
      </c>
      <c r="C100" t="s">
        <v>35</v>
      </c>
      <c r="D100">
        <v>1997</v>
      </c>
      <c r="E100" t="s">
        <v>15</v>
      </c>
      <c r="F100">
        <v>134</v>
      </c>
      <c r="G100">
        <v>4337</v>
      </c>
    </row>
    <row r="101" spans="1:7" x14ac:dyDescent="0.25">
      <c r="A101">
        <v>2</v>
      </c>
      <c r="B101" t="s">
        <v>19</v>
      </c>
      <c r="C101" t="s">
        <v>35</v>
      </c>
      <c r="D101">
        <v>1997</v>
      </c>
      <c r="E101" t="s">
        <v>86</v>
      </c>
      <c r="F101">
        <v>60</v>
      </c>
      <c r="G101">
        <v>2844.5</v>
      </c>
    </row>
    <row r="102" spans="1:7" x14ac:dyDescent="0.25">
      <c r="A102">
        <v>8</v>
      </c>
      <c r="B102" t="s">
        <v>13</v>
      </c>
      <c r="C102" t="s">
        <v>35</v>
      </c>
      <c r="D102">
        <v>1997</v>
      </c>
      <c r="E102" t="s">
        <v>88</v>
      </c>
      <c r="F102">
        <v>25</v>
      </c>
      <c r="G102">
        <v>176.1</v>
      </c>
    </row>
    <row r="103" spans="1:7" x14ac:dyDescent="0.25">
      <c r="A103">
        <v>6</v>
      </c>
      <c r="B103" t="s">
        <v>7</v>
      </c>
      <c r="C103" t="s">
        <v>35</v>
      </c>
      <c r="D103">
        <v>1997</v>
      </c>
      <c r="E103" t="s">
        <v>23</v>
      </c>
      <c r="F103">
        <v>75</v>
      </c>
      <c r="G103">
        <v>2545</v>
      </c>
    </row>
    <row r="104" spans="1:7" x14ac:dyDescent="0.25">
      <c r="A104">
        <v>8</v>
      </c>
      <c r="B104" t="s">
        <v>13</v>
      </c>
      <c r="C104" t="s">
        <v>35</v>
      </c>
      <c r="D104">
        <v>1997</v>
      </c>
      <c r="E104" t="s">
        <v>87</v>
      </c>
      <c r="F104">
        <v>98</v>
      </c>
      <c r="G104">
        <v>2222.1999989999999</v>
      </c>
    </row>
    <row r="105" spans="1:7" x14ac:dyDescent="0.25">
      <c r="A105">
        <v>3</v>
      </c>
      <c r="B105" t="s">
        <v>10</v>
      </c>
      <c r="C105" t="s">
        <v>35</v>
      </c>
      <c r="D105">
        <v>1997</v>
      </c>
      <c r="E105" t="s">
        <v>88</v>
      </c>
      <c r="F105">
        <v>24</v>
      </c>
      <c r="G105">
        <v>321.11999850000001</v>
      </c>
    </row>
    <row r="106" spans="1:7" x14ac:dyDescent="0.25">
      <c r="A106">
        <v>1</v>
      </c>
      <c r="B106" t="s">
        <v>19</v>
      </c>
      <c r="C106" t="s">
        <v>95</v>
      </c>
      <c r="D106">
        <v>1997</v>
      </c>
      <c r="E106" t="s">
        <v>9</v>
      </c>
      <c r="F106">
        <v>32</v>
      </c>
      <c r="G106">
        <v>920.1</v>
      </c>
    </row>
    <row r="107" spans="1:7" x14ac:dyDescent="0.25">
      <c r="A107">
        <v>1</v>
      </c>
      <c r="B107" t="s">
        <v>19</v>
      </c>
      <c r="C107" t="s">
        <v>96</v>
      </c>
      <c r="D107">
        <v>1997</v>
      </c>
      <c r="E107" t="s">
        <v>23</v>
      </c>
      <c r="F107">
        <v>10</v>
      </c>
      <c r="G107">
        <v>93.5</v>
      </c>
    </row>
    <row r="108" spans="1:7" x14ac:dyDescent="0.25">
      <c r="A108">
        <v>2</v>
      </c>
      <c r="B108" t="s">
        <v>19</v>
      </c>
      <c r="C108" t="s">
        <v>96</v>
      </c>
      <c r="D108">
        <v>1997</v>
      </c>
      <c r="E108" t="s">
        <v>91</v>
      </c>
      <c r="F108">
        <v>2</v>
      </c>
      <c r="G108">
        <v>49.8</v>
      </c>
    </row>
    <row r="109" spans="1:7" x14ac:dyDescent="0.25">
      <c r="A109">
        <v>3</v>
      </c>
      <c r="B109" t="s">
        <v>10</v>
      </c>
      <c r="C109" t="s">
        <v>96</v>
      </c>
      <c r="D109">
        <v>1997</v>
      </c>
      <c r="E109" t="s">
        <v>12</v>
      </c>
      <c r="F109">
        <v>9</v>
      </c>
      <c r="G109">
        <v>88</v>
      </c>
    </row>
    <row r="110" spans="1:7" x14ac:dyDescent="0.25">
      <c r="A110">
        <v>4</v>
      </c>
      <c r="B110" t="s">
        <v>19</v>
      </c>
      <c r="C110" t="s">
        <v>96</v>
      </c>
      <c r="D110">
        <v>1997</v>
      </c>
      <c r="E110" t="s">
        <v>15</v>
      </c>
      <c r="F110">
        <v>1</v>
      </c>
      <c r="G110">
        <v>18.399999999999999</v>
      </c>
    </row>
    <row r="111" spans="1:7" x14ac:dyDescent="0.25">
      <c r="A111">
        <v>1</v>
      </c>
      <c r="B111" t="s">
        <v>19</v>
      </c>
      <c r="C111" t="s">
        <v>36</v>
      </c>
      <c r="D111">
        <v>1997</v>
      </c>
      <c r="E111" t="s">
        <v>23</v>
      </c>
      <c r="F111">
        <v>72</v>
      </c>
      <c r="G111">
        <v>1270.7499989999999</v>
      </c>
    </row>
    <row r="112" spans="1:7" x14ac:dyDescent="0.25">
      <c r="A112">
        <v>4</v>
      </c>
      <c r="B112" t="s">
        <v>19</v>
      </c>
      <c r="C112" t="s">
        <v>36</v>
      </c>
      <c r="D112">
        <v>1997</v>
      </c>
      <c r="E112" t="s">
        <v>9</v>
      </c>
      <c r="F112">
        <v>192</v>
      </c>
      <c r="G112">
        <v>2301.75</v>
      </c>
    </row>
    <row r="113" spans="1:7" x14ac:dyDescent="0.25">
      <c r="A113">
        <v>6</v>
      </c>
      <c r="B113" t="s">
        <v>7</v>
      </c>
      <c r="C113" t="s">
        <v>36</v>
      </c>
      <c r="D113">
        <v>1997</v>
      </c>
      <c r="E113" t="s">
        <v>15</v>
      </c>
      <c r="F113">
        <v>34</v>
      </c>
      <c r="G113">
        <v>1829.756999</v>
      </c>
    </row>
    <row r="114" spans="1:7" x14ac:dyDescent="0.25">
      <c r="A114">
        <v>5</v>
      </c>
      <c r="B114" t="s">
        <v>19</v>
      </c>
      <c r="C114" t="s">
        <v>36</v>
      </c>
      <c r="D114">
        <v>1997</v>
      </c>
      <c r="E114" t="s">
        <v>9</v>
      </c>
      <c r="F114">
        <v>70</v>
      </c>
      <c r="G114">
        <v>1423</v>
      </c>
    </row>
    <row r="115" spans="1:7" x14ac:dyDescent="0.25">
      <c r="A115">
        <v>8</v>
      </c>
      <c r="B115" t="s">
        <v>13</v>
      </c>
      <c r="C115" t="s">
        <v>36</v>
      </c>
      <c r="D115">
        <v>1997</v>
      </c>
      <c r="E115" t="s">
        <v>17</v>
      </c>
      <c r="F115">
        <v>94</v>
      </c>
      <c r="G115">
        <v>1336.9499989999999</v>
      </c>
    </row>
    <row r="116" spans="1:7" x14ac:dyDescent="0.25">
      <c r="A116">
        <v>8</v>
      </c>
      <c r="B116" t="s">
        <v>13</v>
      </c>
      <c r="C116" t="s">
        <v>36</v>
      </c>
      <c r="D116">
        <v>1997</v>
      </c>
      <c r="E116" t="s">
        <v>86</v>
      </c>
      <c r="F116">
        <v>35</v>
      </c>
      <c r="G116">
        <v>1072.425</v>
      </c>
    </row>
    <row r="117" spans="1:7" x14ac:dyDescent="0.25">
      <c r="A117">
        <v>8</v>
      </c>
      <c r="B117" t="s">
        <v>13</v>
      </c>
      <c r="C117" t="s">
        <v>36</v>
      </c>
      <c r="D117">
        <v>1997</v>
      </c>
      <c r="E117" t="s">
        <v>89</v>
      </c>
      <c r="F117">
        <v>50</v>
      </c>
      <c r="G117">
        <v>1511.9999989999999</v>
      </c>
    </row>
    <row r="118" spans="1:7" x14ac:dyDescent="0.25">
      <c r="A118">
        <v>1</v>
      </c>
      <c r="B118" t="s">
        <v>19</v>
      </c>
      <c r="C118" t="s">
        <v>36</v>
      </c>
      <c r="D118">
        <v>1997</v>
      </c>
      <c r="E118" t="s">
        <v>9</v>
      </c>
      <c r="F118">
        <v>50</v>
      </c>
      <c r="G118">
        <v>1083.1499980000001</v>
      </c>
    </row>
    <row r="119" spans="1:7" x14ac:dyDescent="0.25">
      <c r="A119">
        <v>4</v>
      </c>
      <c r="B119" t="s">
        <v>19</v>
      </c>
      <c r="C119" t="s">
        <v>37</v>
      </c>
      <c r="D119">
        <v>1997</v>
      </c>
      <c r="E119" t="s">
        <v>87</v>
      </c>
      <c r="F119">
        <v>100</v>
      </c>
      <c r="G119">
        <v>1677.299994</v>
      </c>
    </row>
    <row r="120" spans="1:7" x14ac:dyDescent="0.25">
      <c r="A120">
        <v>8</v>
      </c>
      <c r="B120" t="s">
        <v>13</v>
      </c>
      <c r="C120" t="s">
        <v>37</v>
      </c>
      <c r="D120">
        <v>1997</v>
      </c>
      <c r="E120" t="s">
        <v>89</v>
      </c>
      <c r="F120">
        <v>22</v>
      </c>
      <c r="G120">
        <v>259.50499819999999</v>
      </c>
    </row>
    <row r="121" spans="1:7" x14ac:dyDescent="0.25">
      <c r="A121">
        <v>4</v>
      </c>
      <c r="B121" t="s">
        <v>19</v>
      </c>
      <c r="C121" t="s">
        <v>37</v>
      </c>
      <c r="D121">
        <v>1997</v>
      </c>
      <c r="E121" t="s">
        <v>89</v>
      </c>
      <c r="F121">
        <v>69</v>
      </c>
      <c r="G121">
        <v>1609.279996</v>
      </c>
    </row>
    <row r="122" spans="1:7" x14ac:dyDescent="0.25">
      <c r="A122">
        <v>1</v>
      </c>
      <c r="B122" t="s">
        <v>19</v>
      </c>
      <c r="C122" t="s">
        <v>37</v>
      </c>
      <c r="D122">
        <v>1997</v>
      </c>
      <c r="E122" t="s">
        <v>9</v>
      </c>
      <c r="F122">
        <v>51</v>
      </c>
      <c r="G122">
        <v>1288.387491</v>
      </c>
    </row>
    <row r="123" spans="1:7" x14ac:dyDescent="0.25">
      <c r="A123">
        <v>1</v>
      </c>
      <c r="B123" t="s">
        <v>19</v>
      </c>
      <c r="C123" t="s">
        <v>37</v>
      </c>
      <c r="D123">
        <v>1997</v>
      </c>
      <c r="E123" t="s">
        <v>21</v>
      </c>
      <c r="F123">
        <v>16</v>
      </c>
      <c r="G123">
        <v>230.84999959999999</v>
      </c>
    </row>
    <row r="124" spans="1:7" x14ac:dyDescent="0.25">
      <c r="A124">
        <v>1</v>
      </c>
      <c r="B124" t="s">
        <v>19</v>
      </c>
      <c r="C124" t="s">
        <v>38</v>
      </c>
      <c r="D124">
        <v>1997</v>
      </c>
      <c r="E124" t="s">
        <v>15</v>
      </c>
      <c r="F124">
        <v>20</v>
      </c>
      <c r="G124">
        <v>387.5</v>
      </c>
    </row>
    <row r="125" spans="1:7" x14ac:dyDescent="0.25">
      <c r="A125">
        <v>4</v>
      </c>
      <c r="B125" t="s">
        <v>19</v>
      </c>
      <c r="C125" t="s">
        <v>39</v>
      </c>
      <c r="D125">
        <v>1997</v>
      </c>
      <c r="E125" t="s">
        <v>91</v>
      </c>
      <c r="F125">
        <v>12</v>
      </c>
      <c r="G125">
        <v>338.2</v>
      </c>
    </row>
    <row r="126" spans="1:7" x14ac:dyDescent="0.25">
      <c r="A126">
        <v>3</v>
      </c>
      <c r="B126" t="s">
        <v>10</v>
      </c>
      <c r="C126" t="s">
        <v>39</v>
      </c>
      <c r="D126">
        <v>1997</v>
      </c>
      <c r="E126" t="s">
        <v>86</v>
      </c>
      <c r="F126">
        <v>5</v>
      </c>
      <c r="G126">
        <v>155</v>
      </c>
    </row>
    <row r="127" spans="1:7" x14ac:dyDescent="0.25">
      <c r="A127">
        <v>4</v>
      </c>
      <c r="B127" t="s">
        <v>19</v>
      </c>
      <c r="C127" t="s">
        <v>40</v>
      </c>
      <c r="D127">
        <v>1997</v>
      </c>
      <c r="E127" t="s">
        <v>17</v>
      </c>
      <c r="F127">
        <v>29</v>
      </c>
      <c r="G127">
        <v>2775.05</v>
      </c>
    </row>
    <row r="128" spans="1:7" x14ac:dyDescent="0.25">
      <c r="A128">
        <v>7</v>
      </c>
      <c r="B128" t="s">
        <v>7</v>
      </c>
      <c r="C128" t="s">
        <v>40</v>
      </c>
      <c r="D128">
        <v>1997</v>
      </c>
      <c r="E128" t="s">
        <v>87</v>
      </c>
      <c r="F128">
        <v>34</v>
      </c>
      <c r="G128">
        <v>683.29999899999996</v>
      </c>
    </row>
    <row r="129" spans="1:7" x14ac:dyDescent="0.25">
      <c r="A129">
        <v>6</v>
      </c>
      <c r="B129" t="s">
        <v>7</v>
      </c>
      <c r="C129" t="s">
        <v>97</v>
      </c>
      <c r="D129">
        <v>1997</v>
      </c>
      <c r="E129" t="s">
        <v>91</v>
      </c>
      <c r="F129">
        <v>34</v>
      </c>
      <c r="G129">
        <v>1020</v>
      </c>
    </row>
    <row r="130" spans="1:7" x14ac:dyDescent="0.25">
      <c r="A130">
        <v>1</v>
      </c>
      <c r="B130" t="s">
        <v>19</v>
      </c>
      <c r="C130" t="s">
        <v>97</v>
      </c>
      <c r="D130">
        <v>1997</v>
      </c>
      <c r="E130" t="s">
        <v>23</v>
      </c>
      <c r="F130">
        <v>78</v>
      </c>
      <c r="G130">
        <v>3424</v>
      </c>
    </row>
    <row r="131" spans="1:7" x14ac:dyDescent="0.25">
      <c r="A131">
        <v>2</v>
      </c>
      <c r="B131" t="s">
        <v>19</v>
      </c>
      <c r="C131" t="s">
        <v>97</v>
      </c>
      <c r="D131">
        <v>1997</v>
      </c>
      <c r="E131" t="s">
        <v>12</v>
      </c>
      <c r="F131">
        <v>65</v>
      </c>
      <c r="G131">
        <v>1498.35</v>
      </c>
    </row>
    <row r="132" spans="1:7" x14ac:dyDescent="0.25">
      <c r="A132">
        <v>4</v>
      </c>
      <c r="B132" t="s">
        <v>19</v>
      </c>
      <c r="C132" t="s">
        <v>97</v>
      </c>
      <c r="D132">
        <v>1997</v>
      </c>
      <c r="E132" t="s">
        <v>9</v>
      </c>
      <c r="F132">
        <v>61</v>
      </c>
      <c r="G132">
        <v>1119.9349999999999</v>
      </c>
    </row>
    <row r="133" spans="1:7" x14ac:dyDescent="0.25">
      <c r="A133">
        <v>7</v>
      </c>
      <c r="B133" t="s">
        <v>7</v>
      </c>
      <c r="C133" t="s">
        <v>97</v>
      </c>
      <c r="D133">
        <v>1997</v>
      </c>
      <c r="E133" t="s">
        <v>15</v>
      </c>
      <c r="F133">
        <v>20</v>
      </c>
      <c r="G133">
        <v>223.99999919999999</v>
      </c>
    </row>
    <row r="134" spans="1:7" x14ac:dyDescent="0.25">
      <c r="A134">
        <v>6</v>
      </c>
      <c r="B134" t="s">
        <v>7</v>
      </c>
      <c r="C134" t="s">
        <v>97</v>
      </c>
      <c r="D134">
        <v>1997</v>
      </c>
      <c r="E134" t="s">
        <v>15</v>
      </c>
      <c r="F134">
        <v>23</v>
      </c>
      <c r="G134">
        <v>722.49999490000005</v>
      </c>
    </row>
    <row r="135" spans="1:7" x14ac:dyDescent="0.25">
      <c r="A135">
        <v>3</v>
      </c>
      <c r="B135" t="s">
        <v>10</v>
      </c>
      <c r="C135" t="s">
        <v>98</v>
      </c>
      <c r="D135">
        <v>1997</v>
      </c>
      <c r="E135" t="s">
        <v>9</v>
      </c>
      <c r="F135">
        <v>70</v>
      </c>
      <c r="G135">
        <v>1287.399999</v>
      </c>
    </row>
    <row r="136" spans="1:7" x14ac:dyDescent="0.25">
      <c r="A136">
        <v>6</v>
      </c>
      <c r="B136" t="s">
        <v>7</v>
      </c>
      <c r="C136" t="s">
        <v>98</v>
      </c>
      <c r="D136">
        <v>1997</v>
      </c>
      <c r="E136" t="s">
        <v>9</v>
      </c>
      <c r="F136">
        <v>37</v>
      </c>
      <c r="G136">
        <v>604.21499900000003</v>
      </c>
    </row>
    <row r="137" spans="1:7" x14ac:dyDescent="0.25">
      <c r="A137">
        <v>6</v>
      </c>
      <c r="B137" t="s">
        <v>7</v>
      </c>
      <c r="C137" t="s">
        <v>98</v>
      </c>
      <c r="D137">
        <v>1997</v>
      </c>
      <c r="E137" t="s">
        <v>87</v>
      </c>
      <c r="F137">
        <v>20</v>
      </c>
      <c r="G137">
        <v>392.19999990000002</v>
      </c>
    </row>
    <row r="138" spans="1:7" x14ac:dyDescent="0.25">
      <c r="A138">
        <v>8</v>
      </c>
      <c r="B138" t="s">
        <v>13</v>
      </c>
      <c r="C138" t="s">
        <v>98</v>
      </c>
      <c r="D138">
        <v>1997</v>
      </c>
      <c r="E138" t="s">
        <v>21</v>
      </c>
      <c r="F138">
        <v>4</v>
      </c>
      <c r="G138">
        <v>72</v>
      </c>
    </row>
    <row r="139" spans="1:7" x14ac:dyDescent="0.25">
      <c r="A139">
        <v>1</v>
      </c>
      <c r="B139" t="s">
        <v>19</v>
      </c>
      <c r="C139" t="s">
        <v>98</v>
      </c>
      <c r="D139">
        <v>1997</v>
      </c>
      <c r="E139" t="s">
        <v>21</v>
      </c>
      <c r="F139">
        <v>59</v>
      </c>
      <c r="G139">
        <v>4806.9999969999999</v>
      </c>
    </row>
    <row r="140" spans="1:7" x14ac:dyDescent="0.25">
      <c r="A140">
        <v>4</v>
      </c>
      <c r="B140" t="s">
        <v>19</v>
      </c>
      <c r="C140" t="s">
        <v>98</v>
      </c>
      <c r="D140">
        <v>1997</v>
      </c>
      <c r="E140" t="s">
        <v>21</v>
      </c>
      <c r="F140">
        <v>30</v>
      </c>
      <c r="G140">
        <v>1402.49999</v>
      </c>
    </row>
    <row r="141" spans="1:7" x14ac:dyDescent="0.25">
      <c r="A141">
        <v>3</v>
      </c>
      <c r="B141" t="s">
        <v>10</v>
      </c>
      <c r="C141" t="s">
        <v>41</v>
      </c>
      <c r="D141">
        <v>1997</v>
      </c>
      <c r="E141" t="s">
        <v>15</v>
      </c>
      <c r="F141">
        <v>90</v>
      </c>
      <c r="G141">
        <v>2341.3639920000001</v>
      </c>
    </row>
    <row r="142" spans="1:7" x14ac:dyDescent="0.25">
      <c r="A142">
        <v>9</v>
      </c>
      <c r="B142" t="s">
        <v>13</v>
      </c>
      <c r="C142" t="s">
        <v>41</v>
      </c>
      <c r="D142">
        <v>1997</v>
      </c>
      <c r="E142" t="s">
        <v>23</v>
      </c>
      <c r="F142">
        <v>24</v>
      </c>
      <c r="G142">
        <v>378</v>
      </c>
    </row>
    <row r="143" spans="1:7" x14ac:dyDescent="0.25">
      <c r="A143">
        <v>4</v>
      </c>
      <c r="B143" t="s">
        <v>19</v>
      </c>
      <c r="C143" t="s">
        <v>41</v>
      </c>
      <c r="D143">
        <v>1997</v>
      </c>
      <c r="E143" t="s">
        <v>17</v>
      </c>
      <c r="F143">
        <v>110</v>
      </c>
      <c r="G143">
        <v>2054</v>
      </c>
    </row>
    <row r="144" spans="1:7" x14ac:dyDescent="0.25">
      <c r="A144">
        <v>4</v>
      </c>
      <c r="B144" t="s">
        <v>19</v>
      </c>
      <c r="C144" t="s">
        <v>41</v>
      </c>
      <c r="D144">
        <v>1997</v>
      </c>
      <c r="E144" t="s">
        <v>21</v>
      </c>
      <c r="F144">
        <v>48</v>
      </c>
      <c r="G144">
        <v>353.19999990000002</v>
      </c>
    </row>
    <row r="145" spans="1:7" x14ac:dyDescent="0.25">
      <c r="A145">
        <v>7</v>
      </c>
      <c r="B145" t="s">
        <v>7</v>
      </c>
      <c r="C145" t="s">
        <v>41</v>
      </c>
      <c r="D145">
        <v>1997</v>
      </c>
      <c r="E145" t="s">
        <v>21</v>
      </c>
      <c r="F145">
        <v>95</v>
      </c>
      <c r="G145">
        <v>2285</v>
      </c>
    </row>
    <row r="146" spans="1:7" x14ac:dyDescent="0.25">
      <c r="A146">
        <v>2</v>
      </c>
      <c r="B146" t="s">
        <v>19</v>
      </c>
      <c r="C146" t="s">
        <v>41</v>
      </c>
      <c r="D146">
        <v>1997</v>
      </c>
      <c r="E146" t="s">
        <v>87</v>
      </c>
      <c r="F146">
        <v>48</v>
      </c>
      <c r="G146">
        <v>880.5</v>
      </c>
    </row>
    <row r="147" spans="1:7" x14ac:dyDescent="0.25">
      <c r="A147">
        <v>7</v>
      </c>
      <c r="B147" t="s">
        <v>7</v>
      </c>
      <c r="C147" t="s">
        <v>41</v>
      </c>
      <c r="D147">
        <v>1997</v>
      </c>
      <c r="E147" t="s">
        <v>89</v>
      </c>
      <c r="F147">
        <v>126</v>
      </c>
      <c r="G147">
        <v>3163.2</v>
      </c>
    </row>
    <row r="148" spans="1:7" x14ac:dyDescent="0.25">
      <c r="A148">
        <v>1</v>
      </c>
      <c r="B148" t="s">
        <v>19</v>
      </c>
      <c r="C148" t="s">
        <v>41</v>
      </c>
      <c r="D148">
        <v>1997</v>
      </c>
      <c r="E148" t="s">
        <v>89</v>
      </c>
      <c r="F148">
        <v>46</v>
      </c>
      <c r="G148">
        <v>1272</v>
      </c>
    </row>
    <row r="149" spans="1:7" x14ac:dyDescent="0.25">
      <c r="A149">
        <v>8</v>
      </c>
      <c r="B149" t="s">
        <v>13</v>
      </c>
      <c r="C149" t="s">
        <v>41</v>
      </c>
      <c r="D149">
        <v>1997</v>
      </c>
      <c r="E149" t="s">
        <v>85</v>
      </c>
      <c r="F149">
        <v>49</v>
      </c>
      <c r="G149">
        <v>575</v>
      </c>
    </row>
    <row r="150" spans="1:7" x14ac:dyDescent="0.25">
      <c r="A150">
        <v>8</v>
      </c>
      <c r="B150" t="s">
        <v>13</v>
      </c>
      <c r="C150" t="s">
        <v>41</v>
      </c>
      <c r="D150">
        <v>1997</v>
      </c>
      <c r="E150" t="s">
        <v>89</v>
      </c>
      <c r="F150">
        <v>14</v>
      </c>
      <c r="G150">
        <v>180.48</v>
      </c>
    </row>
    <row r="151" spans="1:7" x14ac:dyDescent="0.25">
      <c r="A151">
        <v>4</v>
      </c>
      <c r="B151" t="s">
        <v>19</v>
      </c>
      <c r="C151" t="s">
        <v>42</v>
      </c>
      <c r="D151">
        <v>1997</v>
      </c>
      <c r="E151" t="s">
        <v>15</v>
      </c>
      <c r="F151">
        <v>15</v>
      </c>
      <c r="G151">
        <v>1442.5</v>
      </c>
    </row>
    <row r="152" spans="1:7" x14ac:dyDescent="0.25">
      <c r="A152">
        <v>1</v>
      </c>
      <c r="B152" t="s">
        <v>19</v>
      </c>
      <c r="C152" t="s">
        <v>42</v>
      </c>
      <c r="D152">
        <v>1997</v>
      </c>
      <c r="E152" t="s">
        <v>23</v>
      </c>
      <c r="F152">
        <v>50</v>
      </c>
      <c r="G152">
        <v>862.5</v>
      </c>
    </row>
    <row r="153" spans="1:7" x14ac:dyDescent="0.25">
      <c r="A153">
        <v>4</v>
      </c>
      <c r="B153" t="s">
        <v>19</v>
      </c>
      <c r="C153" t="s">
        <v>42</v>
      </c>
      <c r="D153">
        <v>1997</v>
      </c>
      <c r="E153" t="s">
        <v>17</v>
      </c>
      <c r="F153">
        <v>35</v>
      </c>
      <c r="G153">
        <v>1535</v>
      </c>
    </row>
    <row r="154" spans="1:7" x14ac:dyDescent="0.25">
      <c r="A154">
        <v>2</v>
      </c>
      <c r="B154" t="s">
        <v>19</v>
      </c>
      <c r="C154" t="s">
        <v>42</v>
      </c>
      <c r="D154">
        <v>1997</v>
      </c>
      <c r="E154" t="s">
        <v>87</v>
      </c>
      <c r="F154">
        <v>84</v>
      </c>
      <c r="G154">
        <v>1946.5199970000001</v>
      </c>
    </row>
    <row r="155" spans="1:7" x14ac:dyDescent="0.25">
      <c r="A155">
        <v>8</v>
      </c>
      <c r="B155" t="s">
        <v>13</v>
      </c>
      <c r="C155" t="s">
        <v>42</v>
      </c>
      <c r="D155">
        <v>1997</v>
      </c>
      <c r="E155" t="s">
        <v>15</v>
      </c>
      <c r="F155">
        <v>15</v>
      </c>
      <c r="G155">
        <v>236.25</v>
      </c>
    </row>
    <row r="156" spans="1:7" x14ac:dyDescent="0.25">
      <c r="A156">
        <v>8</v>
      </c>
      <c r="B156" t="s">
        <v>13</v>
      </c>
      <c r="C156" t="s">
        <v>43</v>
      </c>
      <c r="D156">
        <v>1997</v>
      </c>
      <c r="E156" t="s">
        <v>9</v>
      </c>
      <c r="F156">
        <v>21</v>
      </c>
      <c r="G156">
        <v>1701</v>
      </c>
    </row>
    <row r="157" spans="1:7" x14ac:dyDescent="0.25">
      <c r="A157">
        <v>3</v>
      </c>
      <c r="B157" t="s">
        <v>10</v>
      </c>
      <c r="C157" t="s">
        <v>43</v>
      </c>
      <c r="D157">
        <v>1997</v>
      </c>
      <c r="E157" t="s">
        <v>91</v>
      </c>
      <c r="F157">
        <v>22</v>
      </c>
      <c r="G157">
        <v>102.4</v>
      </c>
    </row>
    <row r="158" spans="1:7" x14ac:dyDescent="0.25">
      <c r="A158">
        <v>4</v>
      </c>
      <c r="B158" t="s">
        <v>19</v>
      </c>
      <c r="C158" t="s">
        <v>43</v>
      </c>
      <c r="D158">
        <v>1997</v>
      </c>
      <c r="E158" t="s">
        <v>21</v>
      </c>
      <c r="F158">
        <v>34</v>
      </c>
      <c r="G158">
        <v>479.8</v>
      </c>
    </row>
    <row r="159" spans="1:7" x14ac:dyDescent="0.25">
      <c r="A159">
        <v>3</v>
      </c>
      <c r="B159" t="s">
        <v>10</v>
      </c>
      <c r="C159" t="s">
        <v>44</v>
      </c>
      <c r="D159">
        <v>1997</v>
      </c>
      <c r="E159" t="s">
        <v>91</v>
      </c>
      <c r="F159">
        <v>75</v>
      </c>
      <c r="G159">
        <v>1441.375</v>
      </c>
    </row>
    <row r="160" spans="1:7" x14ac:dyDescent="0.25">
      <c r="A160">
        <v>2</v>
      </c>
      <c r="B160" t="s">
        <v>19</v>
      </c>
      <c r="C160" t="s">
        <v>44</v>
      </c>
      <c r="D160">
        <v>1997</v>
      </c>
      <c r="E160" t="s">
        <v>85</v>
      </c>
      <c r="F160">
        <v>125</v>
      </c>
      <c r="G160">
        <v>2381.0499970000001</v>
      </c>
    </row>
    <row r="161" spans="1:7" x14ac:dyDescent="0.25">
      <c r="A161">
        <v>6</v>
      </c>
      <c r="B161" t="s">
        <v>7</v>
      </c>
      <c r="C161" t="s">
        <v>44</v>
      </c>
      <c r="D161">
        <v>1997</v>
      </c>
      <c r="E161" t="s">
        <v>85</v>
      </c>
      <c r="F161">
        <v>90</v>
      </c>
      <c r="G161">
        <v>2048.5</v>
      </c>
    </row>
    <row r="162" spans="1:7" x14ac:dyDescent="0.25">
      <c r="A162">
        <v>9</v>
      </c>
      <c r="B162" t="s">
        <v>13</v>
      </c>
      <c r="C162" t="s">
        <v>44</v>
      </c>
      <c r="D162">
        <v>1997</v>
      </c>
      <c r="E162" t="s">
        <v>12</v>
      </c>
      <c r="F162">
        <v>60</v>
      </c>
      <c r="G162">
        <v>997</v>
      </c>
    </row>
    <row r="163" spans="1:7" x14ac:dyDescent="0.25">
      <c r="A163">
        <v>3</v>
      </c>
      <c r="B163" t="s">
        <v>10</v>
      </c>
      <c r="C163" t="s">
        <v>44</v>
      </c>
      <c r="D163">
        <v>1997</v>
      </c>
      <c r="E163" t="s">
        <v>23</v>
      </c>
      <c r="F163">
        <v>33</v>
      </c>
      <c r="G163">
        <v>1233.48</v>
      </c>
    </row>
    <row r="164" spans="1:7" x14ac:dyDescent="0.25">
      <c r="A164">
        <v>6</v>
      </c>
      <c r="B164" t="s">
        <v>7</v>
      </c>
      <c r="C164" t="s">
        <v>44</v>
      </c>
      <c r="D164">
        <v>1997</v>
      </c>
      <c r="E164" t="s">
        <v>23</v>
      </c>
      <c r="F164">
        <v>97</v>
      </c>
      <c r="G164">
        <v>2864.4999800000001</v>
      </c>
    </row>
    <row r="165" spans="1:7" x14ac:dyDescent="0.25">
      <c r="A165">
        <v>9</v>
      </c>
      <c r="B165" t="s">
        <v>13</v>
      </c>
      <c r="C165" t="s">
        <v>44</v>
      </c>
      <c r="D165">
        <v>1997</v>
      </c>
      <c r="E165" t="s">
        <v>9</v>
      </c>
      <c r="F165">
        <v>66</v>
      </c>
      <c r="G165">
        <v>4960.8999999999996</v>
      </c>
    </row>
    <row r="166" spans="1:7" x14ac:dyDescent="0.25">
      <c r="A166">
        <v>7</v>
      </c>
      <c r="B166" t="s">
        <v>7</v>
      </c>
      <c r="C166" t="s">
        <v>44</v>
      </c>
      <c r="D166">
        <v>1997</v>
      </c>
      <c r="E166" t="s">
        <v>9</v>
      </c>
      <c r="F166">
        <v>52</v>
      </c>
      <c r="G166">
        <v>562.59999789999995</v>
      </c>
    </row>
    <row r="167" spans="1:7" x14ac:dyDescent="0.25">
      <c r="A167">
        <v>9</v>
      </c>
      <c r="B167" t="s">
        <v>13</v>
      </c>
      <c r="C167" t="s">
        <v>44</v>
      </c>
      <c r="D167">
        <v>1997</v>
      </c>
      <c r="E167" t="s">
        <v>17</v>
      </c>
      <c r="F167">
        <v>98</v>
      </c>
      <c r="G167">
        <v>1446</v>
      </c>
    </row>
    <row r="168" spans="1:7" x14ac:dyDescent="0.25">
      <c r="A168">
        <v>1</v>
      </c>
      <c r="B168" t="s">
        <v>19</v>
      </c>
      <c r="C168" t="s">
        <v>44</v>
      </c>
      <c r="D168">
        <v>1997</v>
      </c>
      <c r="E168" t="s">
        <v>86</v>
      </c>
      <c r="F168">
        <v>103</v>
      </c>
      <c r="G168">
        <v>2518.9999910000001</v>
      </c>
    </row>
    <row r="169" spans="1:7" x14ac:dyDescent="0.25">
      <c r="A169">
        <v>1</v>
      </c>
      <c r="B169" t="s">
        <v>19</v>
      </c>
      <c r="C169" t="s">
        <v>45</v>
      </c>
      <c r="D169">
        <v>1997</v>
      </c>
      <c r="E169" t="s">
        <v>89</v>
      </c>
      <c r="F169">
        <v>24</v>
      </c>
      <c r="G169">
        <v>230.4</v>
      </c>
    </row>
    <row r="170" spans="1:7" x14ac:dyDescent="0.25">
      <c r="A170">
        <v>4</v>
      </c>
      <c r="B170" t="s">
        <v>19</v>
      </c>
      <c r="C170" t="s">
        <v>45</v>
      </c>
      <c r="D170">
        <v>1997</v>
      </c>
      <c r="E170" t="s">
        <v>12</v>
      </c>
      <c r="F170">
        <v>31</v>
      </c>
      <c r="G170">
        <v>1080</v>
      </c>
    </row>
    <row r="171" spans="1:7" x14ac:dyDescent="0.25">
      <c r="A171">
        <v>4</v>
      </c>
      <c r="B171" t="s">
        <v>19</v>
      </c>
      <c r="C171" t="s">
        <v>45</v>
      </c>
      <c r="D171">
        <v>1997</v>
      </c>
      <c r="E171" t="s">
        <v>9</v>
      </c>
      <c r="F171">
        <v>5</v>
      </c>
      <c r="G171">
        <v>45</v>
      </c>
    </row>
    <row r="172" spans="1:7" x14ac:dyDescent="0.25">
      <c r="A172">
        <v>4</v>
      </c>
      <c r="B172" t="s">
        <v>19</v>
      </c>
      <c r="C172" t="s">
        <v>45</v>
      </c>
      <c r="D172">
        <v>1997</v>
      </c>
      <c r="E172" t="s">
        <v>17</v>
      </c>
      <c r="F172">
        <v>50</v>
      </c>
      <c r="G172">
        <v>758.5</v>
      </c>
    </row>
    <row r="173" spans="1:7" x14ac:dyDescent="0.25">
      <c r="A173">
        <v>2</v>
      </c>
      <c r="B173" t="s">
        <v>19</v>
      </c>
      <c r="C173" t="s">
        <v>45</v>
      </c>
      <c r="D173">
        <v>1997</v>
      </c>
      <c r="E173" t="s">
        <v>15</v>
      </c>
      <c r="F173">
        <v>12</v>
      </c>
      <c r="G173">
        <v>446.6</v>
      </c>
    </row>
    <row r="174" spans="1:7" x14ac:dyDescent="0.25">
      <c r="A174">
        <v>1</v>
      </c>
      <c r="B174" t="s">
        <v>19</v>
      </c>
      <c r="C174" t="s">
        <v>46</v>
      </c>
      <c r="D174">
        <v>1997</v>
      </c>
      <c r="E174" t="s">
        <v>87</v>
      </c>
      <c r="F174">
        <v>39</v>
      </c>
      <c r="G174">
        <v>469.10999959999998</v>
      </c>
    </row>
    <row r="175" spans="1:7" x14ac:dyDescent="0.25">
      <c r="A175">
        <v>9</v>
      </c>
      <c r="B175" t="s">
        <v>13</v>
      </c>
      <c r="C175" t="s">
        <v>46</v>
      </c>
      <c r="D175">
        <v>1997</v>
      </c>
      <c r="E175" t="s">
        <v>85</v>
      </c>
      <c r="F175">
        <v>32</v>
      </c>
      <c r="G175">
        <v>415.79999930000002</v>
      </c>
    </row>
    <row r="176" spans="1:7" x14ac:dyDescent="0.25">
      <c r="A176">
        <v>3</v>
      </c>
      <c r="B176" t="s">
        <v>10</v>
      </c>
      <c r="C176" t="s">
        <v>46</v>
      </c>
      <c r="D176">
        <v>1997</v>
      </c>
      <c r="E176" t="s">
        <v>89</v>
      </c>
      <c r="F176">
        <v>23</v>
      </c>
      <c r="G176">
        <v>717.6</v>
      </c>
    </row>
    <row r="177" spans="1:7" x14ac:dyDescent="0.25">
      <c r="A177">
        <v>1</v>
      </c>
      <c r="B177" t="s">
        <v>19</v>
      </c>
      <c r="C177" t="s">
        <v>46</v>
      </c>
      <c r="D177">
        <v>1997</v>
      </c>
      <c r="E177" t="s">
        <v>23</v>
      </c>
      <c r="F177">
        <v>116</v>
      </c>
      <c r="G177">
        <v>3463</v>
      </c>
    </row>
    <row r="178" spans="1:7" x14ac:dyDescent="0.25">
      <c r="A178">
        <v>1</v>
      </c>
      <c r="B178" t="s">
        <v>19</v>
      </c>
      <c r="C178" t="s">
        <v>46</v>
      </c>
      <c r="D178">
        <v>1997</v>
      </c>
      <c r="E178" t="s">
        <v>17</v>
      </c>
      <c r="F178">
        <v>47</v>
      </c>
      <c r="G178">
        <v>903.59999979999998</v>
      </c>
    </row>
    <row r="179" spans="1:7" x14ac:dyDescent="0.25">
      <c r="A179">
        <v>2</v>
      </c>
      <c r="B179" t="s">
        <v>19</v>
      </c>
      <c r="C179" t="s">
        <v>46</v>
      </c>
      <c r="D179">
        <v>1997</v>
      </c>
      <c r="E179" t="s">
        <v>88</v>
      </c>
      <c r="F179">
        <v>36</v>
      </c>
      <c r="G179">
        <v>1584</v>
      </c>
    </row>
    <row r="180" spans="1:7" x14ac:dyDescent="0.25">
      <c r="A180">
        <v>8</v>
      </c>
      <c r="B180" t="s">
        <v>13</v>
      </c>
      <c r="C180" t="s">
        <v>46</v>
      </c>
      <c r="D180">
        <v>1997</v>
      </c>
      <c r="E180" t="s">
        <v>88</v>
      </c>
      <c r="F180">
        <v>61</v>
      </c>
      <c r="G180">
        <v>557.5999961</v>
      </c>
    </row>
    <row r="181" spans="1:7" x14ac:dyDescent="0.25">
      <c r="A181">
        <v>9</v>
      </c>
      <c r="B181" t="s">
        <v>13</v>
      </c>
      <c r="C181" t="s">
        <v>46</v>
      </c>
      <c r="D181">
        <v>1997</v>
      </c>
      <c r="E181" t="s">
        <v>15</v>
      </c>
      <c r="F181">
        <v>65</v>
      </c>
      <c r="G181">
        <v>1553.4999989999999</v>
      </c>
    </row>
    <row r="182" spans="1:7" x14ac:dyDescent="0.25">
      <c r="A182">
        <v>8</v>
      </c>
      <c r="B182" t="s">
        <v>13</v>
      </c>
      <c r="C182" t="s">
        <v>47</v>
      </c>
      <c r="D182">
        <v>1997</v>
      </c>
      <c r="E182" t="s">
        <v>87</v>
      </c>
      <c r="F182">
        <v>100</v>
      </c>
      <c r="G182">
        <v>1504.4999889999999</v>
      </c>
    </row>
    <row r="183" spans="1:7" x14ac:dyDescent="0.25">
      <c r="A183">
        <v>4</v>
      </c>
      <c r="B183" t="s">
        <v>19</v>
      </c>
      <c r="C183" t="s">
        <v>47</v>
      </c>
      <c r="D183">
        <v>1997</v>
      </c>
      <c r="E183" t="s">
        <v>85</v>
      </c>
      <c r="F183">
        <v>45</v>
      </c>
      <c r="G183">
        <v>1412</v>
      </c>
    </row>
    <row r="184" spans="1:7" x14ac:dyDescent="0.25">
      <c r="A184">
        <v>2</v>
      </c>
      <c r="B184" t="s">
        <v>19</v>
      </c>
      <c r="C184" t="s">
        <v>47</v>
      </c>
      <c r="D184">
        <v>1997</v>
      </c>
      <c r="E184" t="s">
        <v>15</v>
      </c>
      <c r="F184">
        <v>50</v>
      </c>
      <c r="G184">
        <v>720</v>
      </c>
    </row>
    <row r="185" spans="1:7" x14ac:dyDescent="0.25">
      <c r="A185">
        <v>1</v>
      </c>
      <c r="B185" t="s">
        <v>19</v>
      </c>
      <c r="C185" t="s">
        <v>47</v>
      </c>
      <c r="D185">
        <v>1997</v>
      </c>
      <c r="E185" t="s">
        <v>88</v>
      </c>
      <c r="F185">
        <v>128</v>
      </c>
      <c r="G185">
        <v>1538.7</v>
      </c>
    </row>
    <row r="186" spans="1:7" x14ac:dyDescent="0.25">
      <c r="A186">
        <v>4</v>
      </c>
      <c r="B186" t="s">
        <v>19</v>
      </c>
      <c r="C186" t="s">
        <v>99</v>
      </c>
      <c r="D186">
        <v>1997</v>
      </c>
      <c r="E186" t="s">
        <v>89</v>
      </c>
      <c r="F186">
        <v>130</v>
      </c>
      <c r="G186">
        <v>1583.9999969999999</v>
      </c>
    </row>
    <row r="187" spans="1:7" x14ac:dyDescent="0.25">
      <c r="A187">
        <v>8</v>
      </c>
      <c r="B187" t="s">
        <v>13</v>
      </c>
      <c r="C187" t="s">
        <v>99</v>
      </c>
      <c r="D187">
        <v>1997</v>
      </c>
      <c r="E187" t="s">
        <v>12</v>
      </c>
      <c r="F187">
        <v>120</v>
      </c>
      <c r="G187">
        <v>1850</v>
      </c>
    </row>
    <row r="188" spans="1:7" x14ac:dyDescent="0.25">
      <c r="A188">
        <v>3</v>
      </c>
      <c r="B188" t="s">
        <v>10</v>
      </c>
      <c r="C188" t="s">
        <v>99</v>
      </c>
      <c r="D188">
        <v>1997</v>
      </c>
      <c r="E188" t="s">
        <v>23</v>
      </c>
      <c r="F188">
        <v>76</v>
      </c>
      <c r="G188">
        <v>805.42499999999995</v>
      </c>
    </row>
    <row r="189" spans="1:7" x14ac:dyDescent="0.25">
      <c r="A189">
        <v>1</v>
      </c>
      <c r="B189" t="s">
        <v>19</v>
      </c>
      <c r="C189" t="s">
        <v>99</v>
      </c>
      <c r="D189">
        <v>1997</v>
      </c>
      <c r="E189" t="s">
        <v>91</v>
      </c>
      <c r="F189">
        <v>50</v>
      </c>
      <c r="G189">
        <v>400</v>
      </c>
    </row>
    <row r="190" spans="1:7" x14ac:dyDescent="0.25">
      <c r="A190">
        <v>3</v>
      </c>
      <c r="B190" t="s">
        <v>10</v>
      </c>
      <c r="C190" t="s">
        <v>99</v>
      </c>
      <c r="D190">
        <v>1997</v>
      </c>
      <c r="E190" t="s">
        <v>17</v>
      </c>
      <c r="F190">
        <v>101</v>
      </c>
      <c r="G190">
        <v>2720.05</v>
      </c>
    </row>
    <row r="191" spans="1:7" x14ac:dyDescent="0.25">
      <c r="A191">
        <v>6</v>
      </c>
      <c r="B191" t="s">
        <v>7</v>
      </c>
      <c r="C191" t="s">
        <v>48</v>
      </c>
      <c r="D191">
        <v>1997</v>
      </c>
      <c r="E191" t="s">
        <v>91</v>
      </c>
      <c r="F191">
        <v>30</v>
      </c>
      <c r="G191">
        <v>360</v>
      </c>
    </row>
    <row r="192" spans="1:7" x14ac:dyDescent="0.25">
      <c r="A192">
        <v>8</v>
      </c>
      <c r="B192" t="s">
        <v>13</v>
      </c>
      <c r="C192" t="s">
        <v>48</v>
      </c>
      <c r="D192">
        <v>1997</v>
      </c>
      <c r="E192" t="s">
        <v>17</v>
      </c>
      <c r="F192">
        <v>8</v>
      </c>
      <c r="G192">
        <v>55.799999909999997</v>
      </c>
    </row>
    <row r="193" spans="1:7" x14ac:dyDescent="0.25">
      <c r="A193">
        <v>3</v>
      </c>
      <c r="B193" t="s">
        <v>10</v>
      </c>
      <c r="C193" t="s">
        <v>48</v>
      </c>
      <c r="D193">
        <v>1997</v>
      </c>
      <c r="E193" t="s">
        <v>91</v>
      </c>
      <c r="F193">
        <v>78</v>
      </c>
      <c r="G193">
        <v>2123.1999999999998</v>
      </c>
    </row>
    <row r="194" spans="1:7" x14ac:dyDescent="0.25">
      <c r="A194">
        <v>4</v>
      </c>
      <c r="B194" t="s">
        <v>19</v>
      </c>
      <c r="C194" t="s">
        <v>48</v>
      </c>
      <c r="D194">
        <v>1997</v>
      </c>
      <c r="E194" t="s">
        <v>85</v>
      </c>
      <c r="F194">
        <v>35</v>
      </c>
      <c r="G194">
        <v>608.39999899999998</v>
      </c>
    </row>
    <row r="195" spans="1:7" x14ac:dyDescent="0.25">
      <c r="A195">
        <v>6</v>
      </c>
      <c r="B195" t="s">
        <v>7</v>
      </c>
      <c r="C195" t="s">
        <v>48</v>
      </c>
      <c r="D195">
        <v>1997</v>
      </c>
      <c r="E195" t="s">
        <v>85</v>
      </c>
      <c r="F195">
        <v>20</v>
      </c>
      <c r="G195">
        <v>523.25999960000001</v>
      </c>
    </row>
    <row r="196" spans="1:7" x14ac:dyDescent="0.25">
      <c r="A196">
        <v>2</v>
      </c>
      <c r="B196" t="s">
        <v>19</v>
      </c>
      <c r="C196" t="s">
        <v>48</v>
      </c>
      <c r="D196">
        <v>1997</v>
      </c>
      <c r="E196" t="s">
        <v>15</v>
      </c>
      <c r="F196">
        <v>35</v>
      </c>
      <c r="G196">
        <v>2622.759998</v>
      </c>
    </row>
    <row r="197" spans="1:7" x14ac:dyDescent="0.25">
      <c r="A197">
        <v>8</v>
      </c>
      <c r="B197" t="s">
        <v>13</v>
      </c>
      <c r="C197" t="s">
        <v>48</v>
      </c>
      <c r="D197">
        <v>1997</v>
      </c>
      <c r="E197" t="s">
        <v>21</v>
      </c>
      <c r="F197">
        <v>21</v>
      </c>
      <c r="G197">
        <v>299.25</v>
      </c>
    </row>
    <row r="198" spans="1:7" x14ac:dyDescent="0.25">
      <c r="A198">
        <v>4</v>
      </c>
      <c r="B198" t="s">
        <v>19</v>
      </c>
      <c r="C198" t="s">
        <v>48</v>
      </c>
      <c r="D198">
        <v>1997</v>
      </c>
      <c r="E198" t="s">
        <v>88</v>
      </c>
      <c r="F198">
        <v>50</v>
      </c>
      <c r="G198">
        <v>331.1999988</v>
      </c>
    </row>
    <row r="199" spans="1:7" x14ac:dyDescent="0.25">
      <c r="A199">
        <v>2</v>
      </c>
      <c r="B199" t="s">
        <v>19</v>
      </c>
      <c r="C199" t="s">
        <v>100</v>
      </c>
      <c r="D199">
        <v>1997</v>
      </c>
      <c r="E199" t="s">
        <v>17</v>
      </c>
      <c r="F199">
        <v>10</v>
      </c>
      <c r="G199">
        <v>57.5</v>
      </c>
    </row>
    <row r="200" spans="1:7" x14ac:dyDescent="0.25">
      <c r="A200">
        <v>3</v>
      </c>
      <c r="B200" t="s">
        <v>10</v>
      </c>
      <c r="C200" t="s">
        <v>100</v>
      </c>
      <c r="D200">
        <v>1997</v>
      </c>
      <c r="E200" t="s">
        <v>85</v>
      </c>
      <c r="F200">
        <v>35</v>
      </c>
      <c r="G200">
        <v>278</v>
      </c>
    </row>
    <row r="201" spans="1:7" x14ac:dyDescent="0.25">
      <c r="A201">
        <v>8</v>
      </c>
      <c r="B201" t="s">
        <v>13</v>
      </c>
      <c r="C201" t="s">
        <v>101</v>
      </c>
      <c r="D201">
        <v>1997</v>
      </c>
      <c r="E201" t="s">
        <v>87</v>
      </c>
      <c r="F201">
        <v>10</v>
      </c>
      <c r="G201">
        <v>210</v>
      </c>
    </row>
    <row r="202" spans="1:7" x14ac:dyDescent="0.25">
      <c r="A202">
        <v>1</v>
      </c>
      <c r="B202" t="s">
        <v>19</v>
      </c>
      <c r="C202" t="s">
        <v>101</v>
      </c>
      <c r="D202">
        <v>1997</v>
      </c>
      <c r="E202" t="s">
        <v>89</v>
      </c>
      <c r="F202">
        <v>10</v>
      </c>
      <c r="G202">
        <v>147</v>
      </c>
    </row>
    <row r="203" spans="1:7" x14ac:dyDescent="0.25">
      <c r="A203">
        <v>9</v>
      </c>
      <c r="B203" t="s">
        <v>13</v>
      </c>
      <c r="C203" t="s">
        <v>49</v>
      </c>
      <c r="D203">
        <v>1997</v>
      </c>
      <c r="E203" t="s">
        <v>86</v>
      </c>
      <c r="F203">
        <v>50</v>
      </c>
      <c r="G203">
        <v>1152.5</v>
      </c>
    </row>
    <row r="204" spans="1:7" x14ac:dyDescent="0.25">
      <c r="A204">
        <v>3</v>
      </c>
      <c r="B204" t="s">
        <v>10</v>
      </c>
      <c r="C204" t="s">
        <v>49</v>
      </c>
      <c r="D204">
        <v>1997</v>
      </c>
      <c r="E204" t="s">
        <v>87</v>
      </c>
      <c r="F204">
        <v>100</v>
      </c>
      <c r="G204">
        <v>1645</v>
      </c>
    </row>
    <row r="205" spans="1:7" x14ac:dyDescent="0.25">
      <c r="A205">
        <v>8</v>
      </c>
      <c r="B205" t="s">
        <v>13</v>
      </c>
      <c r="C205" t="s">
        <v>49</v>
      </c>
      <c r="D205">
        <v>1997</v>
      </c>
      <c r="E205" t="s">
        <v>87</v>
      </c>
      <c r="F205">
        <v>30</v>
      </c>
      <c r="G205">
        <v>465.69999919999998</v>
      </c>
    </row>
    <row r="206" spans="1:7" x14ac:dyDescent="0.25">
      <c r="A206">
        <v>4</v>
      </c>
      <c r="B206" t="s">
        <v>19</v>
      </c>
      <c r="C206" t="s">
        <v>49</v>
      </c>
      <c r="D206">
        <v>1997</v>
      </c>
      <c r="E206" t="s">
        <v>85</v>
      </c>
      <c r="F206">
        <v>109</v>
      </c>
      <c r="G206">
        <v>2318.2399949999999</v>
      </c>
    </row>
    <row r="207" spans="1:7" x14ac:dyDescent="0.25">
      <c r="A207">
        <v>7</v>
      </c>
      <c r="B207" t="s">
        <v>7</v>
      </c>
      <c r="C207" t="s">
        <v>49</v>
      </c>
      <c r="D207">
        <v>1997</v>
      </c>
      <c r="E207" t="s">
        <v>21</v>
      </c>
      <c r="F207">
        <v>45</v>
      </c>
      <c r="G207">
        <v>1994.399993</v>
      </c>
    </row>
    <row r="208" spans="1:7" x14ac:dyDescent="0.25">
      <c r="A208">
        <v>3</v>
      </c>
      <c r="B208" t="s">
        <v>10</v>
      </c>
      <c r="C208" t="s">
        <v>49</v>
      </c>
      <c r="D208">
        <v>1997</v>
      </c>
      <c r="E208" t="s">
        <v>15</v>
      </c>
      <c r="F208">
        <v>43</v>
      </c>
      <c r="G208">
        <v>3603.22</v>
      </c>
    </row>
    <row r="209" spans="1:7" x14ac:dyDescent="0.25">
      <c r="A209">
        <v>7</v>
      </c>
      <c r="B209" t="s">
        <v>7</v>
      </c>
      <c r="C209" t="s">
        <v>49</v>
      </c>
      <c r="D209">
        <v>1997</v>
      </c>
      <c r="E209" t="s">
        <v>85</v>
      </c>
      <c r="F209">
        <v>64</v>
      </c>
      <c r="G209">
        <v>1380.6</v>
      </c>
    </row>
    <row r="210" spans="1:7" x14ac:dyDescent="0.25">
      <c r="A210">
        <v>3</v>
      </c>
      <c r="B210" t="s">
        <v>10</v>
      </c>
      <c r="C210" t="s">
        <v>49</v>
      </c>
      <c r="D210">
        <v>1997</v>
      </c>
      <c r="E210" t="s">
        <v>21</v>
      </c>
      <c r="F210">
        <v>30</v>
      </c>
      <c r="G210">
        <v>516.4674996</v>
      </c>
    </row>
    <row r="211" spans="1:7" x14ac:dyDescent="0.25">
      <c r="A211">
        <v>6</v>
      </c>
      <c r="B211" t="s">
        <v>7</v>
      </c>
      <c r="C211" t="s">
        <v>102</v>
      </c>
      <c r="D211">
        <v>1997</v>
      </c>
      <c r="E211" t="s">
        <v>12</v>
      </c>
      <c r="F211">
        <v>22</v>
      </c>
      <c r="G211">
        <v>536.39999909999995</v>
      </c>
    </row>
    <row r="212" spans="1:7" x14ac:dyDescent="0.25">
      <c r="A212">
        <v>8</v>
      </c>
      <c r="B212" t="s">
        <v>13</v>
      </c>
      <c r="C212" t="s">
        <v>102</v>
      </c>
      <c r="D212">
        <v>1997</v>
      </c>
      <c r="E212" t="s">
        <v>23</v>
      </c>
      <c r="F212">
        <v>55</v>
      </c>
      <c r="G212">
        <v>844.25250000000005</v>
      </c>
    </row>
    <row r="213" spans="1:7" x14ac:dyDescent="0.25">
      <c r="A213">
        <v>1</v>
      </c>
      <c r="B213" t="s">
        <v>19</v>
      </c>
      <c r="C213" t="s">
        <v>102</v>
      </c>
      <c r="D213">
        <v>1997</v>
      </c>
      <c r="E213" t="s">
        <v>86</v>
      </c>
      <c r="F213">
        <v>31</v>
      </c>
      <c r="G213">
        <v>317.75</v>
      </c>
    </row>
    <row r="214" spans="1:7" x14ac:dyDescent="0.25">
      <c r="A214">
        <v>4</v>
      </c>
      <c r="B214" t="s">
        <v>19</v>
      </c>
      <c r="C214" t="s">
        <v>50</v>
      </c>
      <c r="D214">
        <v>1997</v>
      </c>
      <c r="E214" t="s">
        <v>87</v>
      </c>
      <c r="F214">
        <v>14</v>
      </c>
      <c r="G214">
        <v>417.2</v>
      </c>
    </row>
    <row r="215" spans="1:7" x14ac:dyDescent="0.25">
      <c r="A215">
        <v>1</v>
      </c>
      <c r="B215" t="s">
        <v>19</v>
      </c>
      <c r="C215" t="s">
        <v>50</v>
      </c>
      <c r="D215">
        <v>1997</v>
      </c>
      <c r="E215" t="s">
        <v>9</v>
      </c>
      <c r="F215">
        <v>31</v>
      </c>
      <c r="G215">
        <v>1295</v>
      </c>
    </row>
    <row r="216" spans="1:7" x14ac:dyDescent="0.25">
      <c r="A216">
        <v>3</v>
      </c>
      <c r="B216" t="s">
        <v>10</v>
      </c>
      <c r="C216" t="s">
        <v>50</v>
      </c>
      <c r="D216">
        <v>1997</v>
      </c>
      <c r="E216" t="s">
        <v>9</v>
      </c>
      <c r="F216">
        <v>10</v>
      </c>
      <c r="G216">
        <v>125</v>
      </c>
    </row>
    <row r="217" spans="1:7" x14ac:dyDescent="0.25">
      <c r="A217">
        <v>6</v>
      </c>
      <c r="B217" t="s">
        <v>7</v>
      </c>
      <c r="C217" t="s">
        <v>51</v>
      </c>
      <c r="D217">
        <v>1997</v>
      </c>
      <c r="E217" t="s">
        <v>12</v>
      </c>
      <c r="F217">
        <v>3</v>
      </c>
      <c r="G217">
        <v>55.2</v>
      </c>
    </row>
    <row r="218" spans="1:7" x14ac:dyDescent="0.25">
      <c r="A218">
        <v>2</v>
      </c>
      <c r="B218" t="s">
        <v>19</v>
      </c>
      <c r="C218" t="s">
        <v>51</v>
      </c>
      <c r="D218">
        <v>1997</v>
      </c>
      <c r="E218" t="s">
        <v>91</v>
      </c>
      <c r="F218">
        <v>100</v>
      </c>
      <c r="G218">
        <v>1591.2499989999999</v>
      </c>
    </row>
    <row r="219" spans="1:7" x14ac:dyDescent="0.25">
      <c r="A219">
        <v>8</v>
      </c>
      <c r="B219" t="s">
        <v>13</v>
      </c>
      <c r="C219" t="s">
        <v>51</v>
      </c>
      <c r="D219">
        <v>1997</v>
      </c>
      <c r="E219" t="s">
        <v>17</v>
      </c>
      <c r="F219">
        <v>65</v>
      </c>
      <c r="G219">
        <v>1326.224999</v>
      </c>
    </row>
    <row r="220" spans="1:7" x14ac:dyDescent="0.25">
      <c r="A220">
        <v>8</v>
      </c>
      <c r="B220" t="s">
        <v>13</v>
      </c>
      <c r="C220" t="s">
        <v>51</v>
      </c>
      <c r="D220">
        <v>1997</v>
      </c>
      <c r="E220" t="s">
        <v>89</v>
      </c>
      <c r="F220">
        <v>40</v>
      </c>
      <c r="G220">
        <v>235.2</v>
      </c>
    </row>
    <row r="221" spans="1:7" x14ac:dyDescent="0.25">
      <c r="A221">
        <v>4</v>
      </c>
      <c r="B221" t="s">
        <v>19</v>
      </c>
      <c r="C221" t="s">
        <v>51</v>
      </c>
      <c r="D221">
        <v>1997</v>
      </c>
      <c r="E221" t="s">
        <v>15</v>
      </c>
      <c r="F221">
        <v>62</v>
      </c>
      <c r="G221">
        <v>1487.999994</v>
      </c>
    </row>
    <row r="222" spans="1:7" x14ac:dyDescent="0.25">
      <c r="A222">
        <v>5</v>
      </c>
      <c r="B222" t="s">
        <v>19</v>
      </c>
      <c r="C222" t="s">
        <v>103</v>
      </c>
      <c r="D222">
        <v>1997</v>
      </c>
      <c r="E222" t="s">
        <v>87</v>
      </c>
      <c r="F222">
        <v>44</v>
      </c>
      <c r="G222">
        <v>946</v>
      </c>
    </row>
    <row r="223" spans="1:7" x14ac:dyDescent="0.25">
      <c r="A223">
        <v>4</v>
      </c>
      <c r="B223" t="s">
        <v>19</v>
      </c>
      <c r="C223" t="s">
        <v>103</v>
      </c>
      <c r="D223">
        <v>1997</v>
      </c>
      <c r="E223" t="s">
        <v>15</v>
      </c>
      <c r="F223">
        <v>82</v>
      </c>
      <c r="G223">
        <v>2917</v>
      </c>
    </row>
    <row r="224" spans="1:7" x14ac:dyDescent="0.25">
      <c r="A224">
        <v>5</v>
      </c>
      <c r="B224" t="s">
        <v>19</v>
      </c>
      <c r="C224" t="s">
        <v>103</v>
      </c>
      <c r="D224">
        <v>1997</v>
      </c>
      <c r="E224" t="s">
        <v>17</v>
      </c>
      <c r="F224">
        <v>35</v>
      </c>
      <c r="G224">
        <v>1434</v>
      </c>
    </row>
    <row r="225" spans="1:7" x14ac:dyDescent="0.25">
      <c r="A225">
        <v>3</v>
      </c>
      <c r="B225" t="s">
        <v>10</v>
      </c>
      <c r="C225" t="s">
        <v>52</v>
      </c>
      <c r="D225">
        <v>1997</v>
      </c>
      <c r="E225" t="s">
        <v>15</v>
      </c>
      <c r="F225">
        <v>40</v>
      </c>
      <c r="G225">
        <v>1335</v>
      </c>
    </row>
    <row r="226" spans="1:7" x14ac:dyDescent="0.25">
      <c r="A226">
        <v>3</v>
      </c>
      <c r="B226" t="s">
        <v>10</v>
      </c>
      <c r="C226" t="s">
        <v>52</v>
      </c>
      <c r="D226">
        <v>1997</v>
      </c>
      <c r="E226" t="s">
        <v>23</v>
      </c>
      <c r="F226">
        <v>12</v>
      </c>
      <c r="G226">
        <v>114</v>
      </c>
    </row>
    <row r="227" spans="1:7" x14ac:dyDescent="0.25">
      <c r="A227">
        <v>5</v>
      </c>
      <c r="B227" t="s">
        <v>19</v>
      </c>
      <c r="C227" t="s">
        <v>52</v>
      </c>
      <c r="D227">
        <v>1997</v>
      </c>
      <c r="E227" t="s">
        <v>86</v>
      </c>
      <c r="F227">
        <v>58</v>
      </c>
      <c r="G227">
        <v>2147.4</v>
      </c>
    </row>
    <row r="228" spans="1:7" x14ac:dyDescent="0.25">
      <c r="A228">
        <v>7</v>
      </c>
      <c r="B228" t="s">
        <v>7</v>
      </c>
      <c r="C228" t="s">
        <v>53</v>
      </c>
      <c r="D228">
        <v>1997</v>
      </c>
      <c r="E228" t="s">
        <v>91</v>
      </c>
      <c r="F228">
        <v>139</v>
      </c>
      <c r="G228">
        <v>9194.5599660000007</v>
      </c>
    </row>
    <row r="229" spans="1:7" x14ac:dyDescent="0.25">
      <c r="A229">
        <v>3</v>
      </c>
      <c r="B229" t="s">
        <v>10</v>
      </c>
      <c r="C229" t="s">
        <v>53</v>
      </c>
      <c r="D229">
        <v>1997</v>
      </c>
      <c r="E229" t="s">
        <v>85</v>
      </c>
      <c r="F229">
        <v>3</v>
      </c>
      <c r="G229">
        <v>147.9</v>
      </c>
    </row>
    <row r="230" spans="1:7" x14ac:dyDescent="0.25">
      <c r="A230">
        <v>3</v>
      </c>
      <c r="B230" t="s">
        <v>10</v>
      </c>
      <c r="C230" t="s">
        <v>53</v>
      </c>
      <c r="D230">
        <v>1997</v>
      </c>
      <c r="E230" t="s">
        <v>17</v>
      </c>
      <c r="F230">
        <v>82</v>
      </c>
      <c r="G230">
        <v>1260</v>
      </c>
    </row>
    <row r="231" spans="1:7" x14ac:dyDescent="0.25">
      <c r="A231">
        <v>1</v>
      </c>
      <c r="B231" t="s">
        <v>19</v>
      </c>
      <c r="C231" t="s">
        <v>53</v>
      </c>
      <c r="D231">
        <v>1997</v>
      </c>
      <c r="E231" t="s">
        <v>17</v>
      </c>
      <c r="F231">
        <v>105</v>
      </c>
      <c r="G231">
        <v>2697.5</v>
      </c>
    </row>
    <row r="232" spans="1:7" x14ac:dyDescent="0.25">
      <c r="A232">
        <v>1</v>
      </c>
      <c r="B232" t="s">
        <v>19</v>
      </c>
      <c r="C232" t="s">
        <v>53</v>
      </c>
      <c r="D232">
        <v>1997</v>
      </c>
      <c r="E232" t="s">
        <v>21</v>
      </c>
      <c r="F232">
        <v>135</v>
      </c>
      <c r="G232">
        <v>4109.6999969999997</v>
      </c>
    </row>
    <row r="233" spans="1:7" x14ac:dyDescent="0.25">
      <c r="A233">
        <v>4</v>
      </c>
      <c r="B233" t="s">
        <v>19</v>
      </c>
      <c r="C233" t="s">
        <v>53</v>
      </c>
      <c r="D233">
        <v>1997</v>
      </c>
      <c r="E233" t="s">
        <v>21</v>
      </c>
      <c r="F233">
        <v>80</v>
      </c>
      <c r="G233">
        <v>1100.9999989999999</v>
      </c>
    </row>
    <row r="234" spans="1:7" x14ac:dyDescent="0.25">
      <c r="A234">
        <v>6</v>
      </c>
      <c r="B234" t="s">
        <v>7</v>
      </c>
      <c r="C234" t="s">
        <v>53</v>
      </c>
      <c r="D234">
        <v>1997</v>
      </c>
      <c r="E234" t="s">
        <v>88</v>
      </c>
      <c r="F234">
        <v>67</v>
      </c>
      <c r="G234">
        <v>1078</v>
      </c>
    </row>
    <row r="235" spans="1:7" x14ac:dyDescent="0.25">
      <c r="A235">
        <v>8</v>
      </c>
      <c r="B235" t="s">
        <v>13</v>
      </c>
      <c r="C235" t="s">
        <v>53</v>
      </c>
      <c r="D235">
        <v>1997</v>
      </c>
      <c r="E235" t="s">
        <v>23</v>
      </c>
      <c r="F235">
        <v>21</v>
      </c>
      <c r="G235">
        <v>638.5</v>
      </c>
    </row>
    <row r="236" spans="1:7" x14ac:dyDescent="0.25">
      <c r="A236">
        <v>3</v>
      </c>
      <c r="B236" t="s">
        <v>10</v>
      </c>
      <c r="C236" t="s">
        <v>53</v>
      </c>
      <c r="D236">
        <v>1997</v>
      </c>
      <c r="E236" t="s">
        <v>86</v>
      </c>
      <c r="F236">
        <v>75</v>
      </c>
      <c r="G236">
        <v>2465.2499979999998</v>
      </c>
    </row>
    <row r="237" spans="1:7" x14ac:dyDescent="0.25">
      <c r="A237">
        <v>8</v>
      </c>
      <c r="B237" t="s">
        <v>13</v>
      </c>
      <c r="C237" t="s">
        <v>53</v>
      </c>
      <c r="D237">
        <v>1997</v>
      </c>
      <c r="E237" t="s">
        <v>86</v>
      </c>
      <c r="F237">
        <v>43</v>
      </c>
      <c r="G237">
        <v>639.89999890000001</v>
      </c>
    </row>
    <row r="238" spans="1:7" x14ac:dyDescent="0.25">
      <c r="A238">
        <v>2</v>
      </c>
      <c r="B238" t="s">
        <v>19</v>
      </c>
      <c r="C238" t="s">
        <v>104</v>
      </c>
      <c r="D238">
        <v>1997</v>
      </c>
      <c r="E238" t="s">
        <v>12</v>
      </c>
      <c r="F238">
        <v>11</v>
      </c>
      <c r="G238">
        <v>252</v>
      </c>
    </row>
    <row r="239" spans="1:7" x14ac:dyDescent="0.25">
      <c r="A239">
        <v>3</v>
      </c>
      <c r="B239" t="s">
        <v>10</v>
      </c>
      <c r="C239" t="s">
        <v>104</v>
      </c>
      <c r="D239">
        <v>1997</v>
      </c>
      <c r="E239" t="s">
        <v>85</v>
      </c>
      <c r="F239">
        <v>16</v>
      </c>
      <c r="G239">
        <v>352</v>
      </c>
    </row>
    <row r="240" spans="1:7" x14ac:dyDescent="0.25">
      <c r="A240">
        <v>7</v>
      </c>
      <c r="B240" t="s">
        <v>7</v>
      </c>
      <c r="C240" t="s">
        <v>105</v>
      </c>
      <c r="D240">
        <v>1997</v>
      </c>
      <c r="E240" t="s">
        <v>87</v>
      </c>
      <c r="F240">
        <v>2</v>
      </c>
      <c r="G240">
        <v>110</v>
      </c>
    </row>
    <row r="241" spans="1:7" x14ac:dyDescent="0.25">
      <c r="A241">
        <v>3</v>
      </c>
      <c r="B241" t="s">
        <v>10</v>
      </c>
      <c r="C241" t="s">
        <v>105</v>
      </c>
      <c r="D241">
        <v>1997</v>
      </c>
      <c r="E241" t="s">
        <v>91</v>
      </c>
      <c r="F241">
        <v>24</v>
      </c>
      <c r="G241">
        <v>319.2</v>
      </c>
    </row>
    <row r="242" spans="1:7" x14ac:dyDescent="0.25">
      <c r="A242">
        <v>8</v>
      </c>
      <c r="B242" t="s">
        <v>13</v>
      </c>
      <c r="C242" t="s">
        <v>54</v>
      </c>
      <c r="D242">
        <v>1997</v>
      </c>
      <c r="E242" t="s">
        <v>23</v>
      </c>
      <c r="F242">
        <v>52</v>
      </c>
      <c r="G242">
        <v>1893</v>
      </c>
    </row>
    <row r="243" spans="1:7" x14ac:dyDescent="0.25">
      <c r="A243">
        <v>1</v>
      </c>
      <c r="B243" t="s">
        <v>19</v>
      </c>
      <c r="C243" t="s">
        <v>54</v>
      </c>
      <c r="D243">
        <v>1997</v>
      </c>
      <c r="E243" t="s">
        <v>9</v>
      </c>
      <c r="F243">
        <v>110</v>
      </c>
      <c r="G243">
        <v>1261.875</v>
      </c>
    </row>
    <row r="244" spans="1:7" x14ac:dyDescent="0.25">
      <c r="A244">
        <v>3</v>
      </c>
      <c r="B244" t="s">
        <v>10</v>
      </c>
      <c r="C244" t="s">
        <v>54</v>
      </c>
      <c r="D244">
        <v>1997</v>
      </c>
      <c r="E244" t="s">
        <v>21</v>
      </c>
      <c r="F244">
        <v>54</v>
      </c>
      <c r="G244">
        <v>565.5</v>
      </c>
    </row>
    <row r="245" spans="1:7" x14ac:dyDescent="0.25">
      <c r="A245">
        <v>3</v>
      </c>
      <c r="B245" t="s">
        <v>10</v>
      </c>
      <c r="C245" t="s">
        <v>54</v>
      </c>
      <c r="D245">
        <v>1997</v>
      </c>
      <c r="E245" t="s">
        <v>88</v>
      </c>
      <c r="F245">
        <v>50</v>
      </c>
      <c r="G245">
        <v>1755</v>
      </c>
    </row>
    <row r="246" spans="1:7" x14ac:dyDescent="0.25">
      <c r="A246">
        <v>4</v>
      </c>
      <c r="B246" t="s">
        <v>19</v>
      </c>
      <c r="C246" t="s">
        <v>55</v>
      </c>
      <c r="D246">
        <v>1997</v>
      </c>
      <c r="E246" t="s">
        <v>87</v>
      </c>
      <c r="F246">
        <v>80</v>
      </c>
      <c r="G246">
        <v>1728.524999</v>
      </c>
    </row>
    <row r="247" spans="1:7" x14ac:dyDescent="0.25">
      <c r="A247">
        <v>1</v>
      </c>
      <c r="B247" t="s">
        <v>19</v>
      </c>
      <c r="C247" t="s">
        <v>55</v>
      </c>
      <c r="D247">
        <v>1997</v>
      </c>
      <c r="E247" t="s">
        <v>85</v>
      </c>
      <c r="F247">
        <v>20</v>
      </c>
      <c r="G247">
        <v>240</v>
      </c>
    </row>
    <row r="248" spans="1:7" x14ac:dyDescent="0.25">
      <c r="A248">
        <v>4</v>
      </c>
      <c r="B248" t="s">
        <v>19</v>
      </c>
      <c r="C248" t="s">
        <v>55</v>
      </c>
      <c r="D248">
        <v>1997</v>
      </c>
      <c r="E248" t="s">
        <v>15</v>
      </c>
      <c r="F248">
        <v>115</v>
      </c>
      <c r="G248">
        <v>2310</v>
      </c>
    </row>
    <row r="249" spans="1:7" x14ac:dyDescent="0.25">
      <c r="A249">
        <v>3</v>
      </c>
      <c r="B249" t="s">
        <v>10</v>
      </c>
      <c r="C249" t="s">
        <v>55</v>
      </c>
      <c r="D249">
        <v>1997</v>
      </c>
      <c r="E249" t="s">
        <v>9</v>
      </c>
      <c r="F249">
        <v>90</v>
      </c>
      <c r="G249">
        <v>1768</v>
      </c>
    </row>
    <row r="250" spans="1:7" x14ac:dyDescent="0.25">
      <c r="A250">
        <v>2</v>
      </c>
      <c r="B250" t="s">
        <v>19</v>
      </c>
      <c r="C250" t="s">
        <v>55</v>
      </c>
      <c r="D250">
        <v>1997</v>
      </c>
      <c r="E250" t="s">
        <v>91</v>
      </c>
      <c r="F250">
        <v>60</v>
      </c>
      <c r="G250">
        <v>1194</v>
      </c>
    </row>
    <row r="251" spans="1:7" x14ac:dyDescent="0.25">
      <c r="A251">
        <v>4</v>
      </c>
      <c r="B251" t="s">
        <v>19</v>
      </c>
      <c r="C251" t="s">
        <v>55</v>
      </c>
      <c r="D251">
        <v>1997</v>
      </c>
      <c r="E251" t="s">
        <v>86</v>
      </c>
      <c r="F251">
        <v>54</v>
      </c>
      <c r="G251">
        <v>1013.744999</v>
      </c>
    </row>
    <row r="252" spans="1:7" x14ac:dyDescent="0.25">
      <c r="A252">
        <v>2</v>
      </c>
      <c r="B252" t="s">
        <v>19</v>
      </c>
      <c r="C252" t="s">
        <v>56</v>
      </c>
      <c r="D252">
        <v>1997</v>
      </c>
      <c r="E252" t="s">
        <v>85</v>
      </c>
      <c r="F252">
        <v>57</v>
      </c>
      <c r="G252">
        <v>816.3</v>
      </c>
    </row>
    <row r="253" spans="1:7" x14ac:dyDescent="0.25">
      <c r="A253">
        <v>5</v>
      </c>
      <c r="B253" t="s">
        <v>19</v>
      </c>
      <c r="C253" t="s">
        <v>56</v>
      </c>
      <c r="D253">
        <v>1997</v>
      </c>
      <c r="E253" t="s">
        <v>89</v>
      </c>
      <c r="F253">
        <v>61</v>
      </c>
      <c r="G253">
        <v>1249.0999999999999</v>
      </c>
    </row>
    <row r="254" spans="1:7" x14ac:dyDescent="0.25">
      <c r="A254">
        <v>4</v>
      </c>
      <c r="B254" t="s">
        <v>19</v>
      </c>
      <c r="C254" t="s">
        <v>57</v>
      </c>
      <c r="D254">
        <v>1997</v>
      </c>
      <c r="E254" t="s">
        <v>91</v>
      </c>
      <c r="F254">
        <v>35</v>
      </c>
      <c r="G254">
        <v>651</v>
      </c>
    </row>
    <row r="255" spans="1:7" x14ac:dyDescent="0.25">
      <c r="A255">
        <v>3</v>
      </c>
      <c r="B255" t="s">
        <v>10</v>
      </c>
      <c r="C255" t="s">
        <v>57</v>
      </c>
      <c r="D255">
        <v>1997</v>
      </c>
      <c r="E255" t="s">
        <v>87</v>
      </c>
      <c r="F255">
        <v>135</v>
      </c>
      <c r="G255">
        <v>4180</v>
      </c>
    </row>
    <row r="256" spans="1:7" x14ac:dyDescent="0.25">
      <c r="A256">
        <v>6</v>
      </c>
      <c r="B256" t="s">
        <v>7</v>
      </c>
      <c r="C256" t="s">
        <v>57</v>
      </c>
      <c r="D256">
        <v>1997</v>
      </c>
      <c r="E256" t="s">
        <v>89</v>
      </c>
      <c r="F256">
        <v>33</v>
      </c>
      <c r="G256">
        <v>439.2</v>
      </c>
    </row>
    <row r="257" spans="1:7" x14ac:dyDescent="0.25">
      <c r="A257">
        <v>6</v>
      </c>
      <c r="B257" t="s">
        <v>7</v>
      </c>
      <c r="C257" t="s">
        <v>57</v>
      </c>
      <c r="D257">
        <v>1997</v>
      </c>
      <c r="E257" t="s">
        <v>12</v>
      </c>
      <c r="F257">
        <v>82</v>
      </c>
      <c r="G257">
        <v>1912.85</v>
      </c>
    </row>
    <row r="258" spans="1:7" x14ac:dyDescent="0.25">
      <c r="A258">
        <v>2</v>
      </c>
      <c r="B258" t="s">
        <v>19</v>
      </c>
      <c r="C258" t="s">
        <v>57</v>
      </c>
      <c r="D258">
        <v>1997</v>
      </c>
      <c r="E258" t="s">
        <v>9</v>
      </c>
      <c r="F258">
        <v>45</v>
      </c>
      <c r="G258">
        <v>1404.4499969999999</v>
      </c>
    </row>
    <row r="259" spans="1:7" x14ac:dyDescent="0.25">
      <c r="A259">
        <v>7</v>
      </c>
      <c r="B259" t="s">
        <v>7</v>
      </c>
      <c r="C259" t="s">
        <v>57</v>
      </c>
      <c r="D259">
        <v>1997</v>
      </c>
      <c r="E259" t="s">
        <v>21</v>
      </c>
      <c r="F259">
        <v>67</v>
      </c>
      <c r="G259">
        <v>718.0799988</v>
      </c>
    </row>
    <row r="260" spans="1:7" x14ac:dyDescent="0.25">
      <c r="A260">
        <v>3</v>
      </c>
      <c r="B260" t="s">
        <v>10</v>
      </c>
      <c r="C260" t="s">
        <v>58</v>
      </c>
      <c r="D260">
        <v>1997</v>
      </c>
      <c r="E260" t="s">
        <v>88</v>
      </c>
      <c r="F260">
        <v>28</v>
      </c>
      <c r="G260">
        <v>851.2</v>
      </c>
    </row>
    <row r="261" spans="1:7" x14ac:dyDescent="0.25">
      <c r="A261">
        <v>5</v>
      </c>
      <c r="B261" t="s">
        <v>19</v>
      </c>
      <c r="C261" t="s">
        <v>58</v>
      </c>
      <c r="D261">
        <v>1997</v>
      </c>
      <c r="E261" t="s">
        <v>89</v>
      </c>
      <c r="F261">
        <v>56</v>
      </c>
      <c r="G261">
        <v>558</v>
      </c>
    </row>
    <row r="262" spans="1:7" x14ac:dyDescent="0.25">
      <c r="A262">
        <v>5</v>
      </c>
      <c r="B262" t="s">
        <v>19</v>
      </c>
      <c r="C262" t="s">
        <v>59</v>
      </c>
      <c r="D262">
        <v>1997</v>
      </c>
      <c r="E262" t="s">
        <v>87</v>
      </c>
      <c r="F262">
        <v>203</v>
      </c>
      <c r="G262">
        <v>3554.2749749999998</v>
      </c>
    </row>
    <row r="263" spans="1:7" x14ac:dyDescent="0.25">
      <c r="A263">
        <v>3</v>
      </c>
      <c r="B263" t="s">
        <v>10</v>
      </c>
      <c r="C263" t="s">
        <v>59</v>
      </c>
      <c r="D263">
        <v>1997</v>
      </c>
      <c r="E263" t="s">
        <v>87</v>
      </c>
      <c r="F263">
        <v>165</v>
      </c>
      <c r="G263">
        <v>10191.700000000001</v>
      </c>
    </row>
    <row r="264" spans="1:7" x14ac:dyDescent="0.25">
      <c r="A264">
        <v>7</v>
      </c>
      <c r="B264" t="s">
        <v>7</v>
      </c>
      <c r="C264" t="s">
        <v>59</v>
      </c>
      <c r="D264">
        <v>1997</v>
      </c>
      <c r="E264" t="s">
        <v>87</v>
      </c>
      <c r="F264">
        <v>80</v>
      </c>
      <c r="G264">
        <v>1502.999998</v>
      </c>
    </row>
    <row r="265" spans="1:7" x14ac:dyDescent="0.25">
      <c r="A265">
        <v>4</v>
      </c>
      <c r="B265" t="s">
        <v>19</v>
      </c>
      <c r="C265" t="s">
        <v>59</v>
      </c>
      <c r="D265">
        <v>1997</v>
      </c>
      <c r="E265" t="s">
        <v>91</v>
      </c>
      <c r="F265">
        <v>146</v>
      </c>
      <c r="G265">
        <v>1814.8</v>
      </c>
    </row>
    <row r="266" spans="1:7" x14ac:dyDescent="0.25">
      <c r="A266">
        <v>2</v>
      </c>
      <c r="B266" t="s">
        <v>19</v>
      </c>
      <c r="C266" t="s">
        <v>59</v>
      </c>
      <c r="D266">
        <v>1997</v>
      </c>
      <c r="E266" t="s">
        <v>85</v>
      </c>
      <c r="F266">
        <v>286</v>
      </c>
      <c r="G266">
        <v>9921.2999729999992</v>
      </c>
    </row>
    <row r="267" spans="1:7" x14ac:dyDescent="0.25">
      <c r="A267">
        <v>1</v>
      </c>
      <c r="B267" t="s">
        <v>19</v>
      </c>
      <c r="C267" t="s">
        <v>59</v>
      </c>
      <c r="D267">
        <v>1997</v>
      </c>
      <c r="E267" t="s">
        <v>15</v>
      </c>
      <c r="F267">
        <v>90</v>
      </c>
      <c r="G267">
        <v>731.49999939999998</v>
      </c>
    </row>
    <row r="268" spans="1:7" x14ac:dyDescent="0.25">
      <c r="A268">
        <v>3</v>
      </c>
      <c r="B268" t="s">
        <v>10</v>
      </c>
      <c r="C268" t="s">
        <v>59</v>
      </c>
      <c r="D268">
        <v>1997</v>
      </c>
      <c r="E268" t="s">
        <v>15</v>
      </c>
      <c r="F268">
        <v>80</v>
      </c>
      <c r="G268">
        <v>1515.599997</v>
      </c>
    </row>
    <row r="269" spans="1:7" x14ac:dyDescent="0.25">
      <c r="A269">
        <v>9</v>
      </c>
      <c r="B269" t="s">
        <v>13</v>
      </c>
      <c r="C269" t="s">
        <v>59</v>
      </c>
      <c r="D269">
        <v>1997</v>
      </c>
      <c r="E269" t="s">
        <v>12</v>
      </c>
      <c r="F269">
        <v>92</v>
      </c>
      <c r="G269">
        <v>4529.8</v>
      </c>
    </row>
    <row r="270" spans="1:7" x14ac:dyDescent="0.25">
      <c r="A270">
        <v>5</v>
      </c>
      <c r="B270" t="s">
        <v>19</v>
      </c>
      <c r="C270" t="s">
        <v>59</v>
      </c>
      <c r="D270">
        <v>1997</v>
      </c>
      <c r="E270" t="s">
        <v>23</v>
      </c>
      <c r="F270">
        <v>50</v>
      </c>
      <c r="G270">
        <v>923.87499930000001</v>
      </c>
    </row>
    <row r="271" spans="1:7" x14ac:dyDescent="0.25">
      <c r="A271">
        <v>8</v>
      </c>
      <c r="B271" t="s">
        <v>13</v>
      </c>
      <c r="C271" t="s">
        <v>59</v>
      </c>
      <c r="D271">
        <v>1997</v>
      </c>
      <c r="E271" t="s">
        <v>23</v>
      </c>
      <c r="F271">
        <v>165</v>
      </c>
      <c r="G271">
        <v>4825</v>
      </c>
    </row>
    <row r="272" spans="1:7" x14ac:dyDescent="0.25">
      <c r="A272">
        <v>2</v>
      </c>
      <c r="B272" t="s">
        <v>19</v>
      </c>
      <c r="C272" t="s">
        <v>59</v>
      </c>
      <c r="D272">
        <v>1997</v>
      </c>
      <c r="E272" t="s">
        <v>23</v>
      </c>
      <c r="F272">
        <v>182</v>
      </c>
      <c r="G272">
        <v>10164.799999999999</v>
      </c>
    </row>
    <row r="273" spans="1:7" x14ac:dyDescent="0.25">
      <c r="A273">
        <v>4</v>
      </c>
      <c r="B273" t="s">
        <v>19</v>
      </c>
      <c r="C273" t="s">
        <v>59</v>
      </c>
      <c r="D273">
        <v>1997</v>
      </c>
      <c r="E273" t="s">
        <v>9</v>
      </c>
      <c r="F273">
        <v>255</v>
      </c>
      <c r="G273">
        <v>4464.5999970000003</v>
      </c>
    </row>
    <row r="274" spans="1:7" x14ac:dyDescent="0.25">
      <c r="A274">
        <v>4</v>
      </c>
      <c r="B274" t="s">
        <v>19</v>
      </c>
      <c r="C274" t="s">
        <v>59</v>
      </c>
      <c r="D274">
        <v>1997</v>
      </c>
      <c r="E274" t="s">
        <v>88</v>
      </c>
      <c r="F274">
        <v>238</v>
      </c>
      <c r="G274">
        <v>3849.6599940000001</v>
      </c>
    </row>
    <row r="275" spans="1:7" x14ac:dyDescent="0.25">
      <c r="A275">
        <v>2</v>
      </c>
      <c r="B275" t="s">
        <v>19</v>
      </c>
      <c r="C275" t="s">
        <v>59</v>
      </c>
      <c r="D275">
        <v>1997</v>
      </c>
      <c r="E275" t="s">
        <v>21</v>
      </c>
      <c r="F275">
        <v>140</v>
      </c>
      <c r="G275">
        <v>3119.999988</v>
      </c>
    </row>
    <row r="276" spans="1:7" x14ac:dyDescent="0.25">
      <c r="A276">
        <v>8</v>
      </c>
      <c r="B276" t="s">
        <v>13</v>
      </c>
      <c r="C276" t="s">
        <v>60</v>
      </c>
      <c r="D276">
        <v>1997</v>
      </c>
      <c r="E276" t="s">
        <v>91</v>
      </c>
      <c r="F276">
        <v>59</v>
      </c>
      <c r="G276">
        <v>1194.2699970000001</v>
      </c>
    </row>
    <row r="277" spans="1:7" x14ac:dyDescent="0.25">
      <c r="A277">
        <v>6</v>
      </c>
      <c r="B277" t="s">
        <v>7</v>
      </c>
      <c r="C277" t="s">
        <v>60</v>
      </c>
      <c r="D277">
        <v>1997</v>
      </c>
      <c r="E277" t="s">
        <v>15</v>
      </c>
      <c r="F277">
        <v>21</v>
      </c>
      <c r="G277">
        <v>314.75999880000001</v>
      </c>
    </row>
    <row r="278" spans="1:7" x14ac:dyDescent="0.25">
      <c r="A278">
        <v>8</v>
      </c>
      <c r="B278" t="s">
        <v>13</v>
      </c>
      <c r="C278" t="s">
        <v>60</v>
      </c>
      <c r="D278">
        <v>1997</v>
      </c>
      <c r="E278" t="s">
        <v>23</v>
      </c>
      <c r="F278">
        <v>29</v>
      </c>
      <c r="G278">
        <v>550</v>
      </c>
    </row>
    <row r="279" spans="1:7" x14ac:dyDescent="0.25">
      <c r="A279">
        <v>4</v>
      </c>
      <c r="B279" t="s">
        <v>19</v>
      </c>
      <c r="C279" t="s">
        <v>60</v>
      </c>
      <c r="D279">
        <v>1997</v>
      </c>
      <c r="E279" t="s">
        <v>17</v>
      </c>
      <c r="F279">
        <v>50</v>
      </c>
      <c r="G279">
        <v>636</v>
      </c>
    </row>
    <row r="280" spans="1:7" x14ac:dyDescent="0.25">
      <c r="A280">
        <v>1</v>
      </c>
      <c r="B280" t="s">
        <v>19</v>
      </c>
      <c r="C280" t="s">
        <v>60</v>
      </c>
      <c r="D280">
        <v>1997</v>
      </c>
      <c r="E280" t="s">
        <v>21</v>
      </c>
      <c r="F280">
        <v>46</v>
      </c>
      <c r="G280">
        <v>807.38</v>
      </c>
    </row>
    <row r="281" spans="1:7" x14ac:dyDescent="0.25">
      <c r="A281">
        <v>4</v>
      </c>
      <c r="B281" t="s">
        <v>19</v>
      </c>
      <c r="C281" t="s">
        <v>61</v>
      </c>
      <c r="D281">
        <v>1997</v>
      </c>
      <c r="E281" t="s">
        <v>12</v>
      </c>
      <c r="F281">
        <v>48</v>
      </c>
      <c r="G281">
        <v>1296.75</v>
      </c>
    </row>
    <row r="282" spans="1:7" x14ac:dyDescent="0.25">
      <c r="A282">
        <v>2</v>
      </c>
      <c r="B282" t="s">
        <v>19</v>
      </c>
      <c r="C282" t="s">
        <v>61</v>
      </c>
      <c r="D282">
        <v>1997</v>
      </c>
      <c r="E282" t="s">
        <v>89</v>
      </c>
      <c r="F282">
        <v>59</v>
      </c>
      <c r="G282">
        <v>889.7</v>
      </c>
    </row>
    <row r="283" spans="1:7" x14ac:dyDescent="0.25">
      <c r="A283">
        <v>6</v>
      </c>
      <c r="B283" t="s">
        <v>7</v>
      </c>
      <c r="C283" t="s">
        <v>61</v>
      </c>
      <c r="D283">
        <v>1997</v>
      </c>
      <c r="E283" t="s">
        <v>23</v>
      </c>
      <c r="F283">
        <v>65</v>
      </c>
      <c r="G283">
        <v>595.5</v>
      </c>
    </row>
    <row r="284" spans="1:7" x14ac:dyDescent="0.25">
      <c r="A284">
        <v>7</v>
      </c>
      <c r="B284" t="s">
        <v>7</v>
      </c>
      <c r="C284" t="s">
        <v>61</v>
      </c>
      <c r="D284">
        <v>1997</v>
      </c>
      <c r="E284" t="s">
        <v>9</v>
      </c>
      <c r="F284">
        <v>84</v>
      </c>
      <c r="G284">
        <v>1227.0199990000001</v>
      </c>
    </row>
    <row r="285" spans="1:7" x14ac:dyDescent="0.25">
      <c r="A285">
        <v>6</v>
      </c>
      <c r="B285" t="s">
        <v>7</v>
      </c>
      <c r="C285" t="s">
        <v>61</v>
      </c>
      <c r="D285">
        <v>1997</v>
      </c>
      <c r="E285" t="s">
        <v>17</v>
      </c>
      <c r="F285">
        <v>95</v>
      </c>
      <c r="G285">
        <v>2761.9374979999998</v>
      </c>
    </row>
    <row r="286" spans="1:7" x14ac:dyDescent="0.25">
      <c r="A286">
        <v>8</v>
      </c>
      <c r="B286" t="s">
        <v>13</v>
      </c>
      <c r="C286" t="s">
        <v>61</v>
      </c>
      <c r="D286">
        <v>1997</v>
      </c>
      <c r="E286" t="s">
        <v>15</v>
      </c>
      <c r="F286">
        <v>87</v>
      </c>
      <c r="G286">
        <v>1531.0799939999999</v>
      </c>
    </row>
    <row r="287" spans="1:7" x14ac:dyDescent="0.25">
      <c r="A287">
        <v>7</v>
      </c>
      <c r="B287" t="s">
        <v>7</v>
      </c>
      <c r="C287" t="s">
        <v>61</v>
      </c>
      <c r="D287">
        <v>1997</v>
      </c>
      <c r="E287" t="s">
        <v>91</v>
      </c>
      <c r="F287">
        <v>89</v>
      </c>
      <c r="G287">
        <v>1830.7799970000001</v>
      </c>
    </row>
    <row r="288" spans="1:7" x14ac:dyDescent="0.25">
      <c r="A288">
        <v>4</v>
      </c>
      <c r="B288" t="s">
        <v>19</v>
      </c>
      <c r="C288" t="s">
        <v>106</v>
      </c>
      <c r="D288">
        <v>1997</v>
      </c>
      <c r="E288" t="s">
        <v>23</v>
      </c>
      <c r="F288">
        <v>22</v>
      </c>
      <c r="G288">
        <v>706</v>
      </c>
    </row>
    <row r="289" spans="1:7" x14ac:dyDescent="0.25">
      <c r="A289">
        <v>4</v>
      </c>
      <c r="B289" t="s">
        <v>19</v>
      </c>
      <c r="C289" t="s">
        <v>106</v>
      </c>
      <c r="D289">
        <v>1997</v>
      </c>
      <c r="E289" t="s">
        <v>88</v>
      </c>
      <c r="F289">
        <v>26</v>
      </c>
      <c r="G289">
        <v>443.4</v>
      </c>
    </row>
    <row r="290" spans="1:7" x14ac:dyDescent="0.25">
      <c r="A290">
        <v>1</v>
      </c>
      <c r="B290" t="s">
        <v>19</v>
      </c>
      <c r="C290" t="s">
        <v>62</v>
      </c>
      <c r="D290">
        <v>1997</v>
      </c>
      <c r="E290" t="s">
        <v>91</v>
      </c>
      <c r="F290">
        <v>168</v>
      </c>
      <c r="G290">
        <v>3868.6</v>
      </c>
    </row>
    <row r="291" spans="1:7" x14ac:dyDescent="0.25">
      <c r="A291">
        <v>5</v>
      </c>
      <c r="B291" t="s">
        <v>19</v>
      </c>
      <c r="C291" t="s">
        <v>62</v>
      </c>
      <c r="D291">
        <v>1997</v>
      </c>
      <c r="E291" t="s">
        <v>15</v>
      </c>
      <c r="F291">
        <v>53</v>
      </c>
      <c r="G291">
        <v>507</v>
      </c>
    </row>
    <row r="292" spans="1:7" x14ac:dyDescent="0.25">
      <c r="A292">
        <v>3</v>
      </c>
      <c r="B292" t="s">
        <v>10</v>
      </c>
      <c r="C292" t="s">
        <v>62</v>
      </c>
      <c r="D292">
        <v>1997</v>
      </c>
      <c r="E292" t="s">
        <v>89</v>
      </c>
      <c r="F292">
        <v>148</v>
      </c>
      <c r="G292">
        <v>10495.6</v>
      </c>
    </row>
    <row r="293" spans="1:7" x14ac:dyDescent="0.25">
      <c r="A293">
        <v>1</v>
      </c>
      <c r="B293" t="s">
        <v>19</v>
      </c>
      <c r="C293" t="s">
        <v>62</v>
      </c>
      <c r="D293">
        <v>1997</v>
      </c>
      <c r="E293" t="s">
        <v>21</v>
      </c>
      <c r="F293">
        <v>59</v>
      </c>
      <c r="G293">
        <v>2388.5</v>
      </c>
    </row>
    <row r="294" spans="1:7" x14ac:dyDescent="0.25">
      <c r="A294">
        <v>5</v>
      </c>
      <c r="B294" t="s">
        <v>19</v>
      </c>
      <c r="C294" t="s">
        <v>62</v>
      </c>
      <c r="D294">
        <v>1997</v>
      </c>
      <c r="E294" t="s">
        <v>86</v>
      </c>
      <c r="F294">
        <v>65</v>
      </c>
      <c r="G294">
        <v>889.99999869999999</v>
      </c>
    </row>
    <row r="295" spans="1:7" x14ac:dyDescent="0.25">
      <c r="A295">
        <v>4</v>
      </c>
      <c r="B295" t="s">
        <v>19</v>
      </c>
      <c r="C295" t="s">
        <v>62</v>
      </c>
      <c r="D295">
        <v>1997</v>
      </c>
      <c r="E295" t="s">
        <v>86</v>
      </c>
      <c r="F295">
        <v>47</v>
      </c>
      <c r="G295">
        <v>1234.0499990000001</v>
      </c>
    </row>
    <row r="296" spans="1:7" x14ac:dyDescent="0.25">
      <c r="A296">
        <v>7</v>
      </c>
      <c r="B296" t="s">
        <v>7</v>
      </c>
      <c r="C296" t="s">
        <v>63</v>
      </c>
      <c r="D296">
        <v>1997</v>
      </c>
      <c r="E296" t="s">
        <v>91</v>
      </c>
      <c r="F296">
        <v>20</v>
      </c>
      <c r="G296">
        <v>192</v>
      </c>
    </row>
    <row r="297" spans="1:7" x14ac:dyDescent="0.25">
      <c r="A297">
        <v>1</v>
      </c>
      <c r="B297" t="s">
        <v>19</v>
      </c>
      <c r="C297" t="s">
        <v>63</v>
      </c>
      <c r="D297">
        <v>1997</v>
      </c>
      <c r="E297" t="s">
        <v>86</v>
      </c>
      <c r="F297">
        <v>30</v>
      </c>
      <c r="G297">
        <v>488.69999919999998</v>
      </c>
    </row>
    <row r="298" spans="1:7" x14ac:dyDescent="0.25">
      <c r="A298">
        <v>2</v>
      </c>
      <c r="B298" t="s">
        <v>19</v>
      </c>
      <c r="C298" t="s">
        <v>63</v>
      </c>
      <c r="D298">
        <v>1997</v>
      </c>
      <c r="E298" t="s">
        <v>12</v>
      </c>
      <c r="F298">
        <v>40</v>
      </c>
      <c r="G298">
        <v>1624.4999989999999</v>
      </c>
    </row>
    <row r="299" spans="1:7" x14ac:dyDescent="0.25">
      <c r="A299">
        <v>1</v>
      </c>
      <c r="B299" t="s">
        <v>19</v>
      </c>
      <c r="C299" t="s">
        <v>63</v>
      </c>
      <c r="D299">
        <v>1997</v>
      </c>
      <c r="E299" t="s">
        <v>9</v>
      </c>
      <c r="F299">
        <v>20</v>
      </c>
      <c r="G299">
        <v>154.39999940000001</v>
      </c>
    </row>
    <row r="300" spans="1:7" x14ac:dyDescent="0.25">
      <c r="A300">
        <v>9</v>
      </c>
      <c r="B300" t="s">
        <v>13</v>
      </c>
      <c r="C300" t="s">
        <v>63</v>
      </c>
      <c r="D300">
        <v>1997</v>
      </c>
      <c r="E300" t="s">
        <v>21</v>
      </c>
      <c r="F300">
        <v>4</v>
      </c>
      <c r="G300">
        <v>23.799999830000001</v>
      </c>
    </row>
    <row r="301" spans="1:7" x14ac:dyDescent="0.25">
      <c r="A301">
        <v>8</v>
      </c>
      <c r="B301" t="s">
        <v>13</v>
      </c>
      <c r="C301" t="s">
        <v>63</v>
      </c>
      <c r="D301">
        <v>1997</v>
      </c>
      <c r="E301" t="s">
        <v>88</v>
      </c>
      <c r="F301">
        <v>18</v>
      </c>
      <c r="G301">
        <v>517.43999970000004</v>
      </c>
    </row>
    <row r="302" spans="1:7" x14ac:dyDescent="0.25">
      <c r="A302">
        <v>2</v>
      </c>
      <c r="B302" t="s">
        <v>19</v>
      </c>
      <c r="C302" t="s">
        <v>64</v>
      </c>
      <c r="D302">
        <v>1997</v>
      </c>
      <c r="E302" t="s">
        <v>86</v>
      </c>
      <c r="F302">
        <v>95</v>
      </c>
      <c r="G302">
        <v>965</v>
      </c>
    </row>
    <row r="303" spans="1:7" x14ac:dyDescent="0.25">
      <c r="A303">
        <v>8</v>
      </c>
      <c r="B303" t="s">
        <v>13</v>
      </c>
      <c r="C303" t="s">
        <v>64</v>
      </c>
      <c r="D303">
        <v>1997</v>
      </c>
      <c r="E303" t="s">
        <v>89</v>
      </c>
      <c r="F303">
        <v>64</v>
      </c>
      <c r="G303">
        <v>1472</v>
      </c>
    </row>
    <row r="304" spans="1:7" x14ac:dyDescent="0.25">
      <c r="A304">
        <v>5</v>
      </c>
      <c r="B304" t="s">
        <v>19</v>
      </c>
      <c r="C304" t="s">
        <v>64</v>
      </c>
      <c r="D304">
        <v>1997</v>
      </c>
      <c r="E304" t="s">
        <v>17</v>
      </c>
      <c r="F304">
        <v>30</v>
      </c>
      <c r="G304">
        <v>372.37499960000002</v>
      </c>
    </row>
    <row r="305" spans="1:7" x14ac:dyDescent="0.25">
      <c r="A305">
        <v>4</v>
      </c>
      <c r="B305" t="s">
        <v>19</v>
      </c>
      <c r="C305" t="s">
        <v>64</v>
      </c>
      <c r="D305">
        <v>1997</v>
      </c>
      <c r="E305" t="s">
        <v>17</v>
      </c>
      <c r="F305">
        <v>38</v>
      </c>
      <c r="G305">
        <v>559.99999930000001</v>
      </c>
    </row>
    <row r="306" spans="1:7" x14ac:dyDescent="0.25">
      <c r="A306">
        <v>4</v>
      </c>
      <c r="B306" t="s">
        <v>19</v>
      </c>
      <c r="C306" t="s">
        <v>64</v>
      </c>
      <c r="D306">
        <v>1997</v>
      </c>
      <c r="E306" t="s">
        <v>88</v>
      </c>
      <c r="F306">
        <v>77</v>
      </c>
      <c r="G306">
        <v>914.4</v>
      </c>
    </row>
    <row r="307" spans="1:7" x14ac:dyDescent="0.25">
      <c r="A307">
        <v>1</v>
      </c>
      <c r="B307" t="s">
        <v>19</v>
      </c>
      <c r="C307" t="s">
        <v>65</v>
      </c>
      <c r="D307">
        <v>1997</v>
      </c>
      <c r="E307" t="s">
        <v>87</v>
      </c>
      <c r="F307">
        <v>86</v>
      </c>
      <c r="G307">
        <v>1823.8</v>
      </c>
    </row>
    <row r="308" spans="1:7" x14ac:dyDescent="0.25">
      <c r="A308">
        <v>4</v>
      </c>
      <c r="B308" t="s">
        <v>19</v>
      </c>
      <c r="C308" t="s">
        <v>65</v>
      </c>
      <c r="D308">
        <v>1997</v>
      </c>
      <c r="E308" t="s">
        <v>91</v>
      </c>
      <c r="F308">
        <v>80</v>
      </c>
      <c r="G308">
        <v>2097.5999980000001</v>
      </c>
    </row>
    <row r="309" spans="1:7" x14ac:dyDescent="0.25">
      <c r="A309">
        <v>3</v>
      </c>
      <c r="B309" t="s">
        <v>10</v>
      </c>
      <c r="C309" t="s">
        <v>65</v>
      </c>
      <c r="D309">
        <v>1997</v>
      </c>
      <c r="E309" t="s">
        <v>12</v>
      </c>
      <c r="F309">
        <v>197</v>
      </c>
      <c r="G309">
        <v>3276.0839989999999</v>
      </c>
    </row>
    <row r="310" spans="1:7" x14ac:dyDescent="0.25">
      <c r="A310">
        <v>7</v>
      </c>
      <c r="B310" t="s">
        <v>7</v>
      </c>
      <c r="C310" t="s">
        <v>65</v>
      </c>
      <c r="D310">
        <v>1997</v>
      </c>
      <c r="E310" t="s">
        <v>9</v>
      </c>
      <c r="F310">
        <v>46</v>
      </c>
      <c r="G310">
        <v>4666.9399999999996</v>
      </c>
    </row>
    <row r="311" spans="1:7" x14ac:dyDescent="0.25">
      <c r="A311">
        <v>7</v>
      </c>
      <c r="B311" t="s">
        <v>7</v>
      </c>
      <c r="C311" t="s">
        <v>67</v>
      </c>
      <c r="D311">
        <v>1997</v>
      </c>
      <c r="E311" t="s">
        <v>85</v>
      </c>
      <c r="F311">
        <v>13</v>
      </c>
      <c r="G311">
        <v>200</v>
      </c>
    </row>
    <row r="312" spans="1:7" x14ac:dyDescent="0.25">
      <c r="A312">
        <v>7</v>
      </c>
      <c r="B312" t="s">
        <v>7</v>
      </c>
      <c r="C312" t="s">
        <v>67</v>
      </c>
      <c r="D312">
        <v>1997</v>
      </c>
      <c r="E312" t="s">
        <v>17</v>
      </c>
      <c r="F312">
        <v>8</v>
      </c>
      <c r="G312">
        <v>500</v>
      </c>
    </row>
    <row r="313" spans="1:7" x14ac:dyDescent="0.25">
      <c r="A313">
        <v>6</v>
      </c>
      <c r="B313" t="s">
        <v>7</v>
      </c>
      <c r="C313" t="s">
        <v>68</v>
      </c>
      <c r="D313">
        <v>1997</v>
      </c>
      <c r="E313" t="s">
        <v>86</v>
      </c>
      <c r="F313">
        <v>143</v>
      </c>
      <c r="G313">
        <v>2944.399989</v>
      </c>
    </row>
    <row r="314" spans="1:7" x14ac:dyDescent="0.25">
      <c r="A314">
        <v>6</v>
      </c>
      <c r="B314" t="s">
        <v>7</v>
      </c>
      <c r="C314" t="s">
        <v>68</v>
      </c>
      <c r="D314">
        <v>1997</v>
      </c>
      <c r="E314" t="s">
        <v>85</v>
      </c>
      <c r="F314">
        <v>72</v>
      </c>
      <c r="G314">
        <v>4707.54</v>
      </c>
    </row>
    <row r="315" spans="1:7" x14ac:dyDescent="0.25">
      <c r="A315">
        <v>6</v>
      </c>
      <c r="B315" t="s">
        <v>7</v>
      </c>
      <c r="C315" t="s">
        <v>68</v>
      </c>
      <c r="D315">
        <v>1997</v>
      </c>
      <c r="E315" t="s">
        <v>12</v>
      </c>
      <c r="F315">
        <v>91</v>
      </c>
      <c r="G315">
        <v>3082</v>
      </c>
    </row>
    <row r="316" spans="1:7" x14ac:dyDescent="0.25">
      <c r="A316">
        <v>3</v>
      </c>
      <c r="B316" t="s">
        <v>10</v>
      </c>
      <c r="C316" t="s">
        <v>68</v>
      </c>
      <c r="D316">
        <v>1997</v>
      </c>
      <c r="E316" t="s">
        <v>12</v>
      </c>
      <c r="F316">
        <v>112</v>
      </c>
      <c r="G316">
        <v>2196</v>
      </c>
    </row>
    <row r="317" spans="1:7" x14ac:dyDescent="0.25">
      <c r="A317">
        <v>8</v>
      </c>
      <c r="B317" t="s">
        <v>13</v>
      </c>
      <c r="C317" t="s">
        <v>68</v>
      </c>
      <c r="D317">
        <v>1997</v>
      </c>
      <c r="E317" t="s">
        <v>23</v>
      </c>
      <c r="F317">
        <v>140</v>
      </c>
      <c r="G317">
        <v>1570</v>
      </c>
    </row>
    <row r="318" spans="1:7" x14ac:dyDescent="0.25">
      <c r="A318">
        <v>1</v>
      </c>
      <c r="B318" t="s">
        <v>19</v>
      </c>
      <c r="C318" t="s">
        <v>68</v>
      </c>
      <c r="D318">
        <v>1997</v>
      </c>
      <c r="E318" t="s">
        <v>23</v>
      </c>
      <c r="F318">
        <v>182</v>
      </c>
      <c r="G318">
        <v>2827.9</v>
      </c>
    </row>
    <row r="319" spans="1:7" x14ac:dyDescent="0.25">
      <c r="A319">
        <v>5</v>
      </c>
      <c r="B319" t="s">
        <v>19</v>
      </c>
      <c r="C319" t="s">
        <v>68</v>
      </c>
      <c r="D319">
        <v>1997</v>
      </c>
      <c r="E319" t="s">
        <v>23</v>
      </c>
      <c r="F319">
        <v>311</v>
      </c>
      <c r="G319">
        <v>6657.45</v>
      </c>
    </row>
    <row r="320" spans="1:7" x14ac:dyDescent="0.25">
      <c r="A320">
        <v>3</v>
      </c>
      <c r="B320" t="s">
        <v>10</v>
      </c>
      <c r="C320" t="s">
        <v>68</v>
      </c>
      <c r="D320">
        <v>1997</v>
      </c>
      <c r="E320" t="s">
        <v>23</v>
      </c>
      <c r="F320">
        <v>117</v>
      </c>
      <c r="G320">
        <v>1638.3999940000001</v>
      </c>
    </row>
    <row r="321" spans="1:7" x14ac:dyDescent="0.25">
      <c r="A321">
        <v>7</v>
      </c>
      <c r="B321" t="s">
        <v>7</v>
      </c>
      <c r="C321" t="s">
        <v>68</v>
      </c>
      <c r="D321">
        <v>1997</v>
      </c>
      <c r="E321" t="s">
        <v>9</v>
      </c>
      <c r="F321">
        <v>280</v>
      </c>
      <c r="G321">
        <v>5256.5</v>
      </c>
    </row>
    <row r="322" spans="1:7" x14ac:dyDescent="0.25">
      <c r="A322">
        <v>2</v>
      </c>
      <c r="B322" t="s">
        <v>19</v>
      </c>
      <c r="C322" t="s">
        <v>68</v>
      </c>
      <c r="D322">
        <v>1997</v>
      </c>
      <c r="E322" t="s">
        <v>9</v>
      </c>
      <c r="F322">
        <v>204</v>
      </c>
      <c r="G322">
        <v>4371.6000000000004</v>
      </c>
    </row>
    <row r="323" spans="1:7" x14ac:dyDescent="0.25">
      <c r="A323">
        <v>8</v>
      </c>
      <c r="B323" t="s">
        <v>13</v>
      </c>
      <c r="C323" t="s">
        <v>68</v>
      </c>
      <c r="D323">
        <v>1997</v>
      </c>
      <c r="E323" t="s">
        <v>17</v>
      </c>
      <c r="F323">
        <v>50</v>
      </c>
      <c r="G323">
        <v>1185.7499969999999</v>
      </c>
    </row>
    <row r="324" spans="1:7" x14ac:dyDescent="0.25">
      <c r="A324">
        <v>1</v>
      </c>
      <c r="B324" t="s">
        <v>19</v>
      </c>
      <c r="C324" t="s">
        <v>68</v>
      </c>
      <c r="D324">
        <v>1997</v>
      </c>
      <c r="E324" t="s">
        <v>21</v>
      </c>
      <c r="F324">
        <v>263</v>
      </c>
      <c r="G324">
        <v>6375</v>
      </c>
    </row>
    <row r="325" spans="1:7" x14ac:dyDescent="0.25">
      <c r="A325">
        <v>5</v>
      </c>
      <c r="B325" t="s">
        <v>19</v>
      </c>
      <c r="C325" t="s">
        <v>68</v>
      </c>
      <c r="D325">
        <v>1997</v>
      </c>
      <c r="E325" t="s">
        <v>21</v>
      </c>
      <c r="F325">
        <v>213</v>
      </c>
      <c r="G325">
        <v>6475.4</v>
      </c>
    </row>
    <row r="326" spans="1:7" x14ac:dyDescent="0.25">
      <c r="A326">
        <v>8</v>
      </c>
      <c r="B326" t="s">
        <v>13</v>
      </c>
      <c r="C326" t="s">
        <v>68</v>
      </c>
      <c r="D326">
        <v>1997</v>
      </c>
      <c r="E326" t="s">
        <v>21</v>
      </c>
      <c r="F326">
        <v>73</v>
      </c>
      <c r="G326">
        <v>1483</v>
      </c>
    </row>
    <row r="327" spans="1:7" x14ac:dyDescent="0.25">
      <c r="A327">
        <v>8</v>
      </c>
      <c r="B327" t="s">
        <v>13</v>
      </c>
      <c r="C327" t="s">
        <v>68</v>
      </c>
      <c r="D327">
        <v>1997</v>
      </c>
      <c r="E327" t="s">
        <v>88</v>
      </c>
      <c r="F327">
        <v>115</v>
      </c>
      <c r="G327">
        <v>2018.4999989999999</v>
      </c>
    </row>
    <row r="328" spans="1:7" x14ac:dyDescent="0.25">
      <c r="A328">
        <v>4</v>
      </c>
      <c r="B328" t="s">
        <v>19</v>
      </c>
      <c r="C328" t="s">
        <v>68</v>
      </c>
      <c r="D328">
        <v>1997</v>
      </c>
      <c r="E328" t="s">
        <v>88</v>
      </c>
      <c r="F328">
        <v>208</v>
      </c>
      <c r="G328">
        <v>4924.1349650000002</v>
      </c>
    </row>
    <row r="329" spans="1:7" x14ac:dyDescent="0.25">
      <c r="A329">
        <v>3</v>
      </c>
      <c r="B329" t="s">
        <v>10</v>
      </c>
      <c r="C329" t="s">
        <v>69</v>
      </c>
      <c r="D329">
        <v>1997</v>
      </c>
      <c r="E329" t="s">
        <v>87</v>
      </c>
      <c r="F329">
        <v>84</v>
      </c>
      <c r="G329">
        <v>1792.7999950000001</v>
      </c>
    </row>
    <row r="330" spans="1:7" x14ac:dyDescent="0.25">
      <c r="A330">
        <v>7</v>
      </c>
      <c r="B330" t="s">
        <v>7</v>
      </c>
      <c r="C330" t="s">
        <v>69</v>
      </c>
      <c r="D330">
        <v>1997</v>
      </c>
      <c r="E330" t="s">
        <v>87</v>
      </c>
      <c r="F330">
        <v>64</v>
      </c>
      <c r="G330">
        <v>2444.309996</v>
      </c>
    </row>
    <row r="331" spans="1:7" x14ac:dyDescent="0.25">
      <c r="A331">
        <v>1</v>
      </c>
      <c r="B331" t="s">
        <v>19</v>
      </c>
      <c r="C331" t="s">
        <v>69</v>
      </c>
      <c r="D331">
        <v>1997</v>
      </c>
      <c r="E331" t="s">
        <v>15</v>
      </c>
      <c r="F331">
        <v>67</v>
      </c>
      <c r="G331">
        <v>1468.934998</v>
      </c>
    </row>
    <row r="332" spans="1:7" x14ac:dyDescent="0.25">
      <c r="A332">
        <v>6</v>
      </c>
      <c r="B332" t="s">
        <v>7</v>
      </c>
      <c r="C332" t="s">
        <v>69</v>
      </c>
      <c r="D332">
        <v>1997</v>
      </c>
      <c r="E332" t="s">
        <v>15</v>
      </c>
      <c r="F332">
        <v>64</v>
      </c>
      <c r="G332">
        <v>2278.4</v>
      </c>
    </row>
    <row r="333" spans="1:7" x14ac:dyDescent="0.25">
      <c r="A333">
        <v>8</v>
      </c>
      <c r="B333" t="s">
        <v>13</v>
      </c>
      <c r="C333" t="s">
        <v>69</v>
      </c>
      <c r="D333">
        <v>1997</v>
      </c>
      <c r="E333" t="s">
        <v>89</v>
      </c>
      <c r="F333">
        <v>98</v>
      </c>
      <c r="G333">
        <v>1036.8</v>
      </c>
    </row>
    <row r="334" spans="1:7" x14ac:dyDescent="0.25">
      <c r="A334">
        <v>2</v>
      </c>
      <c r="B334" t="s">
        <v>19</v>
      </c>
      <c r="C334" t="s">
        <v>70</v>
      </c>
      <c r="D334">
        <v>1997</v>
      </c>
      <c r="E334" t="s">
        <v>86</v>
      </c>
      <c r="F334">
        <v>24</v>
      </c>
      <c r="G334">
        <v>835.2</v>
      </c>
    </row>
    <row r="335" spans="1:7" x14ac:dyDescent="0.25">
      <c r="A335">
        <v>4</v>
      </c>
      <c r="B335" t="s">
        <v>19</v>
      </c>
      <c r="C335" t="s">
        <v>70</v>
      </c>
      <c r="D335">
        <v>1997</v>
      </c>
      <c r="E335" t="s">
        <v>15</v>
      </c>
      <c r="F335">
        <v>120</v>
      </c>
      <c r="G335">
        <v>2942.8125</v>
      </c>
    </row>
    <row r="336" spans="1:7" x14ac:dyDescent="0.25">
      <c r="A336">
        <v>4</v>
      </c>
      <c r="B336" t="s">
        <v>19</v>
      </c>
      <c r="C336" t="s">
        <v>70</v>
      </c>
      <c r="D336">
        <v>1997</v>
      </c>
      <c r="E336" t="s">
        <v>91</v>
      </c>
      <c r="F336">
        <v>123</v>
      </c>
      <c r="G336">
        <v>11188.4</v>
      </c>
    </row>
    <row r="337" spans="1:7" x14ac:dyDescent="0.25">
      <c r="A337">
        <v>2</v>
      </c>
      <c r="B337" t="s">
        <v>19</v>
      </c>
      <c r="C337" t="s">
        <v>70</v>
      </c>
      <c r="D337">
        <v>1997</v>
      </c>
      <c r="E337" t="s">
        <v>9</v>
      </c>
      <c r="F337">
        <v>30</v>
      </c>
      <c r="G337">
        <v>570</v>
      </c>
    </row>
    <row r="338" spans="1:7" x14ac:dyDescent="0.25">
      <c r="A338">
        <v>7</v>
      </c>
      <c r="B338" t="s">
        <v>7</v>
      </c>
      <c r="C338" t="s">
        <v>70</v>
      </c>
      <c r="D338">
        <v>1997</v>
      </c>
      <c r="E338" t="s">
        <v>17</v>
      </c>
      <c r="F338">
        <v>50</v>
      </c>
      <c r="G338">
        <v>695.99999739999998</v>
      </c>
    </row>
    <row r="339" spans="1:7" x14ac:dyDescent="0.25">
      <c r="A339">
        <v>3</v>
      </c>
      <c r="B339" t="s">
        <v>10</v>
      </c>
      <c r="C339" t="s">
        <v>71</v>
      </c>
      <c r="D339">
        <v>1997</v>
      </c>
      <c r="E339" t="s">
        <v>91</v>
      </c>
      <c r="F339">
        <v>50</v>
      </c>
      <c r="G339">
        <v>485</v>
      </c>
    </row>
    <row r="340" spans="1:7" x14ac:dyDescent="0.25">
      <c r="A340">
        <v>8</v>
      </c>
      <c r="B340" t="s">
        <v>13</v>
      </c>
      <c r="C340" t="s">
        <v>71</v>
      </c>
      <c r="D340">
        <v>1997</v>
      </c>
      <c r="E340" t="s">
        <v>12</v>
      </c>
      <c r="F340">
        <v>67</v>
      </c>
      <c r="G340">
        <v>1989.9999929999999</v>
      </c>
    </row>
    <row r="341" spans="1:7" x14ac:dyDescent="0.25">
      <c r="A341">
        <v>2</v>
      </c>
      <c r="B341" t="s">
        <v>19</v>
      </c>
      <c r="C341" t="s">
        <v>107</v>
      </c>
      <c r="D341">
        <v>1997</v>
      </c>
      <c r="E341" t="s">
        <v>12</v>
      </c>
      <c r="F341">
        <v>3</v>
      </c>
      <c r="G341">
        <v>52.35</v>
      </c>
    </row>
    <row r="342" spans="1:7" x14ac:dyDescent="0.25">
      <c r="A342">
        <v>4</v>
      </c>
      <c r="B342" t="s">
        <v>19</v>
      </c>
      <c r="C342" t="s">
        <v>72</v>
      </c>
      <c r="D342">
        <v>1997</v>
      </c>
      <c r="E342" t="s">
        <v>15</v>
      </c>
      <c r="F342">
        <v>2</v>
      </c>
      <c r="G342">
        <v>28</v>
      </c>
    </row>
    <row r="343" spans="1:7" x14ac:dyDescent="0.25">
      <c r="A343">
        <v>9</v>
      </c>
      <c r="B343" t="s">
        <v>13</v>
      </c>
      <c r="C343" t="s">
        <v>72</v>
      </c>
      <c r="D343">
        <v>1997</v>
      </c>
      <c r="E343" t="s">
        <v>89</v>
      </c>
      <c r="F343">
        <v>137</v>
      </c>
      <c r="G343">
        <v>1505.179989</v>
      </c>
    </row>
    <row r="344" spans="1:7" x14ac:dyDescent="0.25">
      <c r="A344">
        <v>5</v>
      </c>
      <c r="B344" t="s">
        <v>19</v>
      </c>
      <c r="C344" t="s">
        <v>72</v>
      </c>
      <c r="D344">
        <v>1997</v>
      </c>
      <c r="E344" t="s">
        <v>89</v>
      </c>
      <c r="F344">
        <v>71</v>
      </c>
      <c r="G344">
        <v>713.3</v>
      </c>
    </row>
    <row r="345" spans="1:7" x14ac:dyDescent="0.25">
      <c r="A345">
        <v>7</v>
      </c>
      <c r="B345" t="s">
        <v>7</v>
      </c>
      <c r="C345" t="s">
        <v>72</v>
      </c>
      <c r="D345">
        <v>1997</v>
      </c>
      <c r="E345" t="s">
        <v>88</v>
      </c>
      <c r="F345">
        <v>145</v>
      </c>
      <c r="G345">
        <v>3891</v>
      </c>
    </row>
    <row r="346" spans="1:7" x14ac:dyDescent="0.25">
      <c r="A346">
        <v>2</v>
      </c>
      <c r="B346" t="s">
        <v>19</v>
      </c>
      <c r="C346" t="s">
        <v>73</v>
      </c>
      <c r="D346">
        <v>1997</v>
      </c>
      <c r="E346" t="s">
        <v>15</v>
      </c>
      <c r="F346">
        <v>20</v>
      </c>
      <c r="G346">
        <v>2775</v>
      </c>
    </row>
    <row r="347" spans="1:7" x14ac:dyDescent="0.25">
      <c r="A347">
        <v>6</v>
      </c>
      <c r="B347" t="s">
        <v>7</v>
      </c>
      <c r="C347" t="s">
        <v>73</v>
      </c>
      <c r="D347">
        <v>1997</v>
      </c>
      <c r="E347" t="s">
        <v>23</v>
      </c>
      <c r="F347">
        <v>9</v>
      </c>
      <c r="G347">
        <v>180.4</v>
      </c>
    </row>
    <row r="348" spans="1:7" x14ac:dyDescent="0.25">
      <c r="A348">
        <v>7</v>
      </c>
      <c r="B348" t="s">
        <v>7</v>
      </c>
      <c r="C348" t="s">
        <v>108</v>
      </c>
      <c r="D348">
        <v>1997</v>
      </c>
      <c r="E348" t="s">
        <v>15</v>
      </c>
      <c r="F348">
        <v>9</v>
      </c>
      <c r="G348">
        <v>228</v>
      </c>
    </row>
    <row r="349" spans="1:7" x14ac:dyDescent="0.25">
      <c r="A349">
        <v>4</v>
      </c>
      <c r="B349" t="s">
        <v>19</v>
      </c>
      <c r="C349" t="s">
        <v>108</v>
      </c>
      <c r="D349">
        <v>1997</v>
      </c>
      <c r="E349" t="s">
        <v>17</v>
      </c>
      <c r="F349">
        <v>26</v>
      </c>
      <c r="G349">
        <v>1393.24</v>
      </c>
    </row>
    <row r="350" spans="1:7" x14ac:dyDescent="0.25">
      <c r="A350">
        <v>3</v>
      </c>
      <c r="B350" t="s">
        <v>10</v>
      </c>
      <c r="C350" t="s">
        <v>74</v>
      </c>
      <c r="D350">
        <v>1997</v>
      </c>
      <c r="E350" t="s">
        <v>87</v>
      </c>
      <c r="F350">
        <v>24</v>
      </c>
      <c r="G350">
        <v>240.1</v>
      </c>
    </row>
    <row r="351" spans="1:7" x14ac:dyDescent="0.25">
      <c r="A351">
        <v>3</v>
      </c>
      <c r="B351" t="s">
        <v>10</v>
      </c>
      <c r="C351" t="s">
        <v>74</v>
      </c>
      <c r="D351">
        <v>1997</v>
      </c>
      <c r="E351" t="s">
        <v>88</v>
      </c>
      <c r="F351">
        <v>50</v>
      </c>
      <c r="G351">
        <v>453.99999830000002</v>
      </c>
    </row>
    <row r="352" spans="1:7" x14ac:dyDescent="0.25">
      <c r="A352">
        <v>6</v>
      </c>
      <c r="B352" t="s">
        <v>7</v>
      </c>
      <c r="C352" t="s">
        <v>74</v>
      </c>
      <c r="D352">
        <v>1997</v>
      </c>
      <c r="E352" t="s">
        <v>88</v>
      </c>
      <c r="F352">
        <v>50</v>
      </c>
      <c r="G352">
        <v>246.2399996</v>
      </c>
    </row>
    <row r="353" spans="1:7" x14ac:dyDescent="0.25">
      <c r="A353">
        <v>4</v>
      </c>
      <c r="B353" t="s">
        <v>19</v>
      </c>
      <c r="C353" t="s">
        <v>74</v>
      </c>
      <c r="D353">
        <v>1997</v>
      </c>
      <c r="E353" t="s">
        <v>21</v>
      </c>
      <c r="F353">
        <v>28</v>
      </c>
      <c r="G353">
        <v>1064</v>
      </c>
    </row>
    <row r="354" spans="1:7" x14ac:dyDescent="0.25">
      <c r="A354">
        <v>4</v>
      </c>
      <c r="B354" t="s">
        <v>19</v>
      </c>
      <c r="C354" t="s">
        <v>75</v>
      </c>
      <c r="D354">
        <v>1997</v>
      </c>
      <c r="E354" t="s">
        <v>85</v>
      </c>
      <c r="F354">
        <v>29</v>
      </c>
      <c r="G354">
        <v>4150.05</v>
      </c>
    </row>
    <row r="355" spans="1:7" x14ac:dyDescent="0.25">
      <c r="A355">
        <v>2</v>
      </c>
      <c r="B355" t="s">
        <v>19</v>
      </c>
      <c r="C355" t="s">
        <v>75</v>
      </c>
      <c r="D355">
        <v>1997</v>
      </c>
      <c r="E355" t="s">
        <v>9</v>
      </c>
      <c r="F355">
        <v>30</v>
      </c>
      <c r="G355">
        <v>534.85</v>
      </c>
    </row>
    <row r="356" spans="1:7" x14ac:dyDescent="0.25">
      <c r="A356">
        <v>3</v>
      </c>
      <c r="B356" t="s">
        <v>10</v>
      </c>
      <c r="C356" t="s">
        <v>75</v>
      </c>
      <c r="D356">
        <v>1997</v>
      </c>
      <c r="E356" t="s">
        <v>86</v>
      </c>
      <c r="F356">
        <v>51</v>
      </c>
      <c r="G356">
        <v>838.45</v>
      </c>
    </row>
    <row r="357" spans="1:7" x14ac:dyDescent="0.25">
      <c r="A357">
        <v>7</v>
      </c>
      <c r="B357" t="s">
        <v>7</v>
      </c>
      <c r="C357" t="s">
        <v>76</v>
      </c>
      <c r="D357">
        <v>1997</v>
      </c>
      <c r="E357" t="s">
        <v>85</v>
      </c>
      <c r="F357">
        <v>20</v>
      </c>
      <c r="G357">
        <v>189.99999990000001</v>
      </c>
    </row>
    <row r="358" spans="1:7" x14ac:dyDescent="0.25">
      <c r="A358">
        <v>4</v>
      </c>
      <c r="B358" t="s">
        <v>19</v>
      </c>
      <c r="C358" t="s">
        <v>76</v>
      </c>
      <c r="D358">
        <v>1997</v>
      </c>
      <c r="E358" t="s">
        <v>21</v>
      </c>
      <c r="F358">
        <v>50</v>
      </c>
      <c r="G358">
        <v>1130.3999960000001</v>
      </c>
    </row>
    <row r="359" spans="1:7" x14ac:dyDescent="0.25">
      <c r="A359">
        <v>9</v>
      </c>
      <c r="B359" t="s">
        <v>13</v>
      </c>
      <c r="C359" t="s">
        <v>109</v>
      </c>
      <c r="D359">
        <v>1997</v>
      </c>
      <c r="E359" t="s">
        <v>86</v>
      </c>
      <c r="F359">
        <v>48</v>
      </c>
      <c r="G359">
        <v>569</v>
      </c>
    </row>
    <row r="360" spans="1:7" x14ac:dyDescent="0.25">
      <c r="A360">
        <v>4</v>
      </c>
      <c r="B360" t="s">
        <v>19</v>
      </c>
      <c r="C360" t="s">
        <v>109</v>
      </c>
      <c r="D360">
        <v>1997</v>
      </c>
      <c r="E360" t="s">
        <v>86</v>
      </c>
      <c r="F360">
        <v>32</v>
      </c>
      <c r="G360">
        <v>764.3</v>
      </c>
    </row>
    <row r="361" spans="1:7" x14ac:dyDescent="0.25">
      <c r="A361">
        <v>3</v>
      </c>
      <c r="B361" t="s">
        <v>10</v>
      </c>
      <c r="C361" t="s">
        <v>77</v>
      </c>
      <c r="D361">
        <v>1997</v>
      </c>
      <c r="E361" t="s">
        <v>15</v>
      </c>
      <c r="F361">
        <v>80</v>
      </c>
      <c r="G361">
        <v>1684.2750000000001</v>
      </c>
    </row>
    <row r="362" spans="1:7" x14ac:dyDescent="0.25">
      <c r="A362">
        <v>6</v>
      </c>
      <c r="B362" t="s">
        <v>7</v>
      </c>
      <c r="C362" t="s">
        <v>77</v>
      </c>
      <c r="D362">
        <v>1997</v>
      </c>
      <c r="E362" t="s">
        <v>12</v>
      </c>
      <c r="F362">
        <v>50</v>
      </c>
      <c r="G362">
        <v>735.99999730000002</v>
      </c>
    </row>
    <row r="363" spans="1:7" x14ac:dyDescent="0.25">
      <c r="A363">
        <v>4</v>
      </c>
      <c r="B363" t="s">
        <v>19</v>
      </c>
      <c r="C363" t="s">
        <v>77</v>
      </c>
      <c r="D363">
        <v>1997</v>
      </c>
      <c r="E363" t="s">
        <v>23</v>
      </c>
      <c r="F363">
        <v>92</v>
      </c>
      <c r="G363">
        <v>3160.599995</v>
      </c>
    </row>
    <row r="364" spans="1:7" x14ac:dyDescent="0.25">
      <c r="A364">
        <v>8</v>
      </c>
      <c r="B364" t="s">
        <v>13</v>
      </c>
      <c r="C364" t="s">
        <v>77</v>
      </c>
      <c r="D364">
        <v>1997</v>
      </c>
      <c r="E364" t="s">
        <v>21</v>
      </c>
      <c r="F364">
        <v>5</v>
      </c>
      <c r="G364">
        <v>48.75</v>
      </c>
    </row>
    <row r="365" spans="1:7" x14ac:dyDescent="0.25">
      <c r="A365">
        <v>1</v>
      </c>
      <c r="B365" t="s">
        <v>19</v>
      </c>
      <c r="C365" t="s">
        <v>77</v>
      </c>
      <c r="D365">
        <v>1997</v>
      </c>
      <c r="E365" t="s">
        <v>89</v>
      </c>
      <c r="F365">
        <v>118</v>
      </c>
      <c r="G365">
        <v>2517.9999969999999</v>
      </c>
    </row>
    <row r="366" spans="1:7" x14ac:dyDescent="0.25">
      <c r="A366">
        <v>1</v>
      </c>
      <c r="B366" t="s">
        <v>19</v>
      </c>
      <c r="C366" t="s">
        <v>77</v>
      </c>
      <c r="D366">
        <v>1997</v>
      </c>
      <c r="E366" t="s">
        <v>21</v>
      </c>
      <c r="F366">
        <v>74</v>
      </c>
      <c r="G366">
        <v>812.5</v>
      </c>
    </row>
    <row r="367" spans="1:7" x14ac:dyDescent="0.25">
      <c r="A367">
        <v>1</v>
      </c>
      <c r="B367" t="s">
        <v>19</v>
      </c>
      <c r="C367" t="s">
        <v>78</v>
      </c>
      <c r="D367">
        <v>1997</v>
      </c>
      <c r="E367" t="s">
        <v>87</v>
      </c>
      <c r="F367">
        <v>80</v>
      </c>
      <c r="G367">
        <v>2812</v>
      </c>
    </row>
    <row r="368" spans="1:7" x14ac:dyDescent="0.25">
      <c r="A368">
        <v>3</v>
      </c>
      <c r="B368" t="s">
        <v>10</v>
      </c>
      <c r="C368" t="s">
        <v>78</v>
      </c>
      <c r="D368">
        <v>1997</v>
      </c>
      <c r="E368" t="s">
        <v>15</v>
      </c>
      <c r="F368">
        <v>37</v>
      </c>
      <c r="G368">
        <v>439.6</v>
      </c>
    </row>
    <row r="369" spans="1:7" x14ac:dyDescent="0.25">
      <c r="A369">
        <v>8</v>
      </c>
      <c r="B369" t="s">
        <v>13</v>
      </c>
      <c r="C369" t="s">
        <v>78</v>
      </c>
      <c r="D369">
        <v>1997</v>
      </c>
      <c r="E369" t="s">
        <v>88</v>
      </c>
      <c r="F369">
        <v>26</v>
      </c>
      <c r="G369">
        <v>425.11999839999999</v>
      </c>
    </row>
    <row r="370" spans="1:7" x14ac:dyDescent="0.25">
      <c r="A370">
        <v>2</v>
      </c>
      <c r="B370" t="s">
        <v>19</v>
      </c>
      <c r="C370" t="s">
        <v>78</v>
      </c>
      <c r="D370">
        <v>1997</v>
      </c>
      <c r="E370" t="s">
        <v>89</v>
      </c>
      <c r="F370">
        <v>20</v>
      </c>
      <c r="G370">
        <v>471.19999960000001</v>
      </c>
    </row>
    <row r="371" spans="1:7" x14ac:dyDescent="0.25">
      <c r="A371">
        <v>4</v>
      </c>
      <c r="B371" t="s">
        <v>19</v>
      </c>
      <c r="C371" t="s">
        <v>78</v>
      </c>
      <c r="D371">
        <v>1997</v>
      </c>
      <c r="E371" t="s">
        <v>88</v>
      </c>
      <c r="F371">
        <v>76</v>
      </c>
      <c r="G371">
        <v>1659.2</v>
      </c>
    </row>
    <row r="372" spans="1:7" x14ac:dyDescent="0.25">
      <c r="A372">
        <v>2</v>
      </c>
      <c r="B372" t="s">
        <v>19</v>
      </c>
      <c r="C372" t="s">
        <v>79</v>
      </c>
      <c r="D372">
        <v>1997</v>
      </c>
      <c r="E372" t="s">
        <v>12</v>
      </c>
      <c r="F372">
        <v>16</v>
      </c>
      <c r="G372">
        <v>139.80000000000001</v>
      </c>
    </row>
    <row r="373" spans="1:7" x14ac:dyDescent="0.25">
      <c r="A373">
        <v>3</v>
      </c>
      <c r="B373" t="s">
        <v>10</v>
      </c>
      <c r="C373" t="s">
        <v>79</v>
      </c>
      <c r="D373">
        <v>1997</v>
      </c>
      <c r="E373" t="s">
        <v>12</v>
      </c>
      <c r="F373">
        <v>24</v>
      </c>
      <c r="G373">
        <v>240</v>
      </c>
    </row>
    <row r="374" spans="1:7" x14ac:dyDescent="0.25">
      <c r="A374">
        <v>2</v>
      </c>
      <c r="B374" t="s">
        <v>19</v>
      </c>
      <c r="C374" t="s">
        <v>80</v>
      </c>
      <c r="D374">
        <v>1997</v>
      </c>
      <c r="E374" t="s">
        <v>87</v>
      </c>
      <c r="F374">
        <v>89</v>
      </c>
      <c r="G374">
        <v>1546.3</v>
      </c>
    </row>
    <row r="375" spans="1:7" x14ac:dyDescent="0.25">
      <c r="A375">
        <v>8</v>
      </c>
      <c r="B375" t="s">
        <v>13</v>
      </c>
      <c r="C375" t="s">
        <v>80</v>
      </c>
      <c r="D375">
        <v>1997</v>
      </c>
      <c r="E375" t="s">
        <v>88</v>
      </c>
      <c r="F375">
        <v>140</v>
      </c>
      <c r="G375">
        <v>3077</v>
      </c>
    </row>
    <row r="376" spans="1:7" x14ac:dyDescent="0.25">
      <c r="A376">
        <v>4</v>
      </c>
      <c r="B376" t="s">
        <v>19</v>
      </c>
      <c r="C376" t="s">
        <v>80</v>
      </c>
      <c r="D376">
        <v>1997</v>
      </c>
      <c r="E376" t="s">
        <v>87</v>
      </c>
      <c r="F376">
        <v>48</v>
      </c>
      <c r="G376">
        <v>1151.3999920000001</v>
      </c>
    </row>
    <row r="377" spans="1:7" x14ac:dyDescent="0.25">
      <c r="A377">
        <v>2</v>
      </c>
      <c r="B377" t="s">
        <v>19</v>
      </c>
      <c r="C377" t="s">
        <v>80</v>
      </c>
      <c r="D377">
        <v>1997</v>
      </c>
      <c r="E377" t="s">
        <v>15</v>
      </c>
      <c r="F377">
        <v>58</v>
      </c>
      <c r="G377">
        <v>975.87999769999999</v>
      </c>
    </row>
    <row r="378" spans="1:7" x14ac:dyDescent="0.25">
      <c r="A378">
        <v>8</v>
      </c>
      <c r="B378" t="s">
        <v>13</v>
      </c>
      <c r="C378" t="s">
        <v>80</v>
      </c>
      <c r="D378">
        <v>1997</v>
      </c>
      <c r="E378" t="s">
        <v>91</v>
      </c>
      <c r="F378">
        <v>70</v>
      </c>
      <c r="G378">
        <v>1054.7999990000001</v>
      </c>
    </row>
    <row r="379" spans="1:7" x14ac:dyDescent="0.25">
      <c r="A379">
        <v>9</v>
      </c>
      <c r="B379" t="s">
        <v>13</v>
      </c>
      <c r="C379" t="s">
        <v>80</v>
      </c>
      <c r="D379">
        <v>1997</v>
      </c>
      <c r="E379" t="s">
        <v>12</v>
      </c>
      <c r="F379">
        <v>70</v>
      </c>
      <c r="G379">
        <v>1590.5624889999999</v>
      </c>
    </row>
    <row r="380" spans="1:7" x14ac:dyDescent="0.25">
      <c r="A380">
        <v>4</v>
      </c>
      <c r="B380" t="s">
        <v>19</v>
      </c>
      <c r="C380" t="s">
        <v>80</v>
      </c>
      <c r="D380">
        <v>1997</v>
      </c>
      <c r="E380" t="s">
        <v>17</v>
      </c>
      <c r="F380">
        <v>31</v>
      </c>
      <c r="G380">
        <v>629.5</v>
      </c>
    </row>
    <row r="381" spans="1:7" x14ac:dyDescent="0.25">
      <c r="A381">
        <v>2</v>
      </c>
      <c r="B381" t="s">
        <v>19</v>
      </c>
      <c r="C381" t="s">
        <v>80</v>
      </c>
      <c r="D381">
        <v>1997</v>
      </c>
      <c r="E381" t="s">
        <v>86</v>
      </c>
      <c r="F381">
        <v>44</v>
      </c>
      <c r="G381">
        <v>2237.4999929999999</v>
      </c>
    </row>
    <row r="382" spans="1:7" x14ac:dyDescent="0.25">
      <c r="A382">
        <v>4</v>
      </c>
      <c r="B382" t="s">
        <v>19</v>
      </c>
      <c r="C382" t="s">
        <v>81</v>
      </c>
      <c r="D382">
        <v>1997</v>
      </c>
      <c r="E382" t="s">
        <v>15</v>
      </c>
      <c r="F382">
        <v>54</v>
      </c>
      <c r="G382">
        <v>1193.0099990000001</v>
      </c>
    </row>
    <row r="383" spans="1:7" x14ac:dyDescent="0.25">
      <c r="A383">
        <v>3</v>
      </c>
      <c r="B383" t="s">
        <v>10</v>
      </c>
      <c r="C383" t="s">
        <v>81</v>
      </c>
      <c r="D383">
        <v>1997</v>
      </c>
      <c r="E383" t="s">
        <v>91</v>
      </c>
      <c r="F383">
        <v>50</v>
      </c>
      <c r="G383">
        <v>1707.839997</v>
      </c>
    </row>
    <row r="384" spans="1:7" x14ac:dyDescent="0.25">
      <c r="A384">
        <v>3</v>
      </c>
      <c r="B384" t="s">
        <v>10</v>
      </c>
      <c r="C384" t="s">
        <v>81</v>
      </c>
      <c r="D384">
        <v>1997</v>
      </c>
      <c r="E384" t="s">
        <v>17</v>
      </c>
      <c r="F384">
        <v>45</v>
      </c>
      <c r="G384">
        <v>1371.7999990000001</v>
      </c>
    </row>
    <row r="385" spans="1:7" x14ac:dyDescent="0.25">
      <c r="A385">
        <v>7</v>
      </c>
      <c r="B385" t="s">
        <v>7</v>
      </c>
      <c r="C385" t="s">
        <v>81</v>
      </c>
      <c r="D385">
        <v>1997</v>
      </c>
      <c r="E385" t="s">
        <v>21</v>
      </c>
      <c r="F385">
        <v>15</v>
      </c>
      <c r="G385">
        <v>142.5</v>
      </c>
    </row>
    <row r="386" spans="1:7" x14ac:dyDescent="0.25">
      <c r="A386">
        <v>4</v>
      </c>
      <c r="B386" t="s">
        <v>19</v>
      </c>
      <c r="C386" t="s">
        <v>82</v>
      </c>
      <c r="D386">
        <v>1997</v>
      </c>
      <c r="E386" t="s">
        <v>85</v>
      </c>
      <c r="F386">
        <v>59</v>
      </c>
      <c r="G386">
        <v>1388.5</v>
      </c>
    </row>
    <row r="387" spans="1:7" x14ac:dyDescent="0.25">
      <c r="A387">
        <v>4</v>
      </c>
      <c r="B387" t="s">
        <v>19</v>
      </c>
      <c r="C387" t="s">
        <v>82</v>
      </c>
      <c r="D387">
        <v>1997</v>
      </c>
      <c r="E387" t="s">
        <v>12</v>
      </c>
      <c r="F387">
        <v>94</v>
      </c>
      <c r="G387">
        <v>1415.9999949999999</v>
      </c>
    </row>
    <row r="388" spans="1:7" x14ac:dyDescent="0.25">
      <c r="A388">
        <v>8</v>
      </c>
      <c r="B388" t="s">
        <v>13</v>
      </c>
      <c r="C388" t="s">
        <v>82</v>
      </c>
      <c r="D388">
        <v>1997</v>
      </c>
      <c r="E388" t="s">
        <v>23</v>
      </c>
      <c r="F388">
        <v>38</v>
      </c>
      <c r="G388">
        <v>996</v>
      </c>
    </row>
    <row r="389" spans="1:7" x14ac:dyDescent="0.25">
      <c r="A389">
        <v>3</v>
      </c>
      <c r="B389" t="s">
        <v>10</v>
      </c>
      <c r="C389" t="s">
        <v>82</v>
      </c>
      <c r="D389">
        <v>1997</v>
      </c>
      <c r="E389" t="s">
        <v>23</v>
      </c>
      <c r="F389">
        <v>126</v>
      </c>
      <c r="G389">
        <v>2539.6499899999999</v>
      </c>
    </row>
    <row r="390" spans="1:7" x14ac:dyDescent="0.25">
      <c r="A390">
        <v>8</v>
      </c>
      <c r="B390" t="s">
        <v>13</v>
      </c>
      <c r="C390" t="s">
        <v>82</v>
      </c>
      <c r="D390">
        <v>1997</v>
      </c>
      <c r="E390" t="s">
        <v>21</v>
      </c>
      <c r="F390">
        <v>59</v>
      </c>
      <c r="G390">
        <v>1180.8799959999999</v>
      </c>
    </row>
    <row r="391" spans="1:7" x14ac:dyDescent="0.25">
      <c r="A391">
        <v>7</v>
      </c>
      <c r="B391" t="s">
        <v>7</v>
      </c>
      <c r="C391" t="s">
        <v>82</v>
      </c>
      <c r="D391">
        <v>1997</v>
      </c>
      <c r="E391" t="s">
        <v>89</v>
      </c>
      <c r="F391">
        <v>65</v>
      </c>
      <c r="G391">
        <v>668.79999950000001</v>
      </c>
    </row>
    <row r="392" spans="1:7" x14ac:dyDescent="0.25">
      <c r="A392">
        <v>1</v>
      </c>
      <c r="B392" t="s">
        <v>19</v>
      </c>
      <c r="C392" t="s">
        <v>82</v>
      </c>
      <c r="D392">
        <v>1997</v>
      </c>
      <c r="E392" t="s">
        <v>89</v>
      </c>
      <c r="F392">
        <v>77</v>
      </c>
      <c r="G392">
        <v>956.67499329999998</v>
      </c>
    </row>
    <row r="393" spans="1:7" x14ac:dyDescent="0.25">
      <c r="A393">
        <v>7</v>
      </c>
      <c r="B393" t="s">
        <v>7</v>
      </c>
      <c r="C393" t="s">
        <v>110</v>
      </c>
      <c r="D393">
        <v>1997</v>
      </c>
      <c r="E393" t="s">
        <v>23</v>
      </c>
      <c r="F393">
        <v>34</v>
      </c>
      <c r="G393">
        <v>642</v>
      </c>
    </row>
    <row r="394" spans="1:7" x14ac:dyDescent="0.25">
      <c r="A394">
        <v>2</v>
      </c>
      <c r="B394" t="s">
        <v>19</v>
      </c>
      <c r="C394" t="s">
        <v>110</v>
      </c>
      <c r="D394">
        <v>1997</v>
      </c>
      <c r="E394" t="s">
        <v>9</v>
      </c>
      <c r="F394">
        <v>15</v>
      </c>
      <c r="G394">
        <v>412.35</v>
      </c>
    </row>
    <row r="395" spans="1:7" x14ac:dyDescent="0.25">
      <c r="A395">
        <v>2</v>
      </c>
      <c r="B395" t="s">
        <v>19</v>
      </c>
      <c r="C395" t="s">
        <v>110</v>
      </c>
      <c r="D395">
        <v>1997</v>
      </c>
      <c r="E395" t="s">
        <v>21</v>
      </c>
      <c r="F395">
        <v>5</v>
      </c>
      <c r="G395">
        <v>120</v>
      </c>
    </row>
    <row r="396" spans="1:7" x14ac:dyDescent="0.25">
      <c r="A396">
        <v>1</v>
      </c>
      <c r="B396" t="s">
        <v>19</v>
      </c>
      <c r="C396" t="s">
        <v>83</v>
      </c>
      <c r="D396">
        <v>1997</v>
      </c>
      <c r="E396" t="s">
        <v>15</v>
      </c>
      <c r="F396">
        <v>28</v>
      </c>
      <c r="G396">
        <v>399.85</v>
      </c>
    </row>
    <row r="397" spans="1:7" x14ac:dyDescent="0.25">
      <c r="A397">
        <v>6</v>
      </c>
      <c r="B397" t="s">
        <v>7</v>
      </c>
      <c r="C397" t="s">
        <v>83</v>
      </c>
      <c r="D397">
        <v>1997</v>
      </c>
      <c r="E397" t="s">
        <v>21</v>
      </c>
      <c r="F397">
        <v>31</v>
      </c>
      <c r="G397">
        <v>808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54941-C785-455E-AD0E-9A9C74ED3034}">
  <dimension ref="A1:G149"/>
  <sheetViews>
    <sheetView topLeftCell="A39" workbookViewId="0"/>
  </sheetViews>
  <sheetFormatPr defaultRowHeight="15" x14ac:dyDescent="0.25"/>
  <cols>
    <col min="1" max="1" width="14.28515625" bestFit="1" customWidth="1"/>
    <col min="2" max="2" width="20.42578125" bestFit="1" customWidth="1"/>
    <col min="3" max="3" width="33.85546875" bestFit="1" customWidth="1"/>
    <col min="4" max="4" width="7.28515625" bestFit="1" customWidth="1"/>
    <col min="5" max="5" width="10.28515625" bestFit="1" customWidth="1"/>
    <col min="6" max="6" width="16" bestFit="1" customWidth="1"/>
    <col min="7" max="7" width="13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7</v>
      </c>
      <c r="B2" t="s">
        <v>7</v>
      </c>
      <c r="C2" t="s">
        <v>8</v>
      </c>
      <c r="D2">
        <v>1996</v>
      </c>
      <c r="E2" t="s">
        <v>9</v>
      </c>
      <c r="F2">
        <v>6</v>
      </c>
      <c r="G2">
        <v>88.8</v>
      </c>
    </row>
    <row r="3" spans="1:7" x14ac:dyDescent="0.25">
      <c r="A3">
        <v>3</v>
      </c>
      <c r="B3" t="s">
        <v>10</v>
      </c>
      <c r="C3" t="s">
        <v>11</v>
      </c>
      <c r="D3">
        <v>1996</v>
      </c>
      <c r="E3" t="s">
        <v>12</v>
      </c>
      <c r="F3">
        <v>24</v>
      </c>
      <c r="G3">
        <v>403.2</v>
      </c>
    </row>
    <row r="4" spans="1:7" x14ac:dyDescent="0.25">
      <c r="A4">
        <v>8</v>
      </c>
      <c r="B4" t="s">
        <v>13</v>
      </c>
      <c r="C4" t="s">
        <v>14</v>
      </c>
      <c r="D4">
        <v>1996</v>
      </c>
      <c r="E4" t="s">
        <v>15</v>
      </c>
      <c r="F4">
        <v>55</v>
      </c>
      <c r="G4">
        <v>899</v>
      </c>
    </row>
    <row r="5" spans="1:7" x14ac:dyDescent="0.25">
      <c r="A5">
        <v>6</v>
      </c>
      <c r="B5" t="s">
        <v>7</v>
      </c>
      <c r="C5" t="s">
        <v>14</v>
      </c>
      <c r="D5">
        <v>1996</v>
      </c>
      <c r="E5" t="s">
        <v>12</v>
      </c>
      <c r="F5">
        <v>50</v>
      </c>
      <c r="G5">
        <v>480</v>
      </c>
    </row>
    <row r="6" spans="1:7" x14ac:dyDescent="0.25">
      <c r="A6">
        <v>7</v>
      </c>
      <c r="B6" t="s">
        <v>7</v>
      </c>
      <c r="C6" t="s">
        <v>16</v>
      </c>
      <c r="D6">
        <v>1996</v>
      </c>
      <c r="E6" t="s">
        <v>17</v>
      </c>
      <c r="F6">
        <v>39</v>
      </c>
      <c r="G6">
        <v>479.4</v>
      </c>
    </row>
    <row r="7" spans="1:7" x14ac:dyDescent="0.25">
      <c r="A7">
        <v>8</v>
      </c>
      <c r="B7" t="s">
        <v>13</v>
      </c>
      <c r="C7" t="s">
        <v>18</v>
      </c>
      <c r="D7">
        <v>1996</v>
      </c>
      <c r="E7" t="s">
        <v>17</v>
      </c>
      <c r="F7">
        <v>64</v>
      </c>
      <c r="G7">
        <v>1488.8</v>
      </c>
    </row>
    <row r="8" spans="1:7" x14ac:dyDescent="0.25">
      <c r="A8">
        <v>2</v>
      </c>
      <c r="B8" t="s">
        <v>19</v>
      </c>
      <c r="C8" t="s">
        <v>18</v>
      </c>
      <c r="D8">
        <v>1996</v>
      </c>
      <c r="E8" t="s">
        <v>17</v>
      </c>
      <c r="F8">
        <v>62</v>
      </c>
      <c r="G8">
        <v>613.20000000000005</v>
      </c>
    </row>
    <row r="9" spans="1:7" x14ac:dyDescent="0.25">
      <c r="A9">
        <v>3</v>
      </c>
      <c r="B9" t="s">
        <v>10</v>
      </c>
      <c r="C9" t="s">
        <v>18</v>
      </c>
      <c r="D9">
        <v>1996</v>
      </c>
      <c r="E9" t="s">
        <v>15</v>
      </c>
      <c r="F9">
        <v>43</v>
      </c>
      <c r="G9">
        <v>2222.4</v>
      </c>
    </row>
    <row r="10" spans="1:7" x14ac:dyDescent="0.25">
      <c r="A10">
        <v>4</v>
      </c>
      <c r="B10" t="s">
        <v>19</v>
      </c>
      <c r="C10" t="s">
        <v>20</v>
      </c>
      <c r="D10">
        <v>1996</v>
      </c>
      <c r="E10" t="s">
        <v>12</v>
      </c>
      <c r="F10">
        <v>138</v>
      </c>
      <c r="G10">
        <v>7390.2</v>
      </c>
    </row>
    <row r="11" spans="1:7" x14ac:dyDescent="0.25">
      <c r="A11">
        <v>2</v>
      </c>
      <c r="B11" t="s">
        <v>19</v>
      </c>
      <c r="C11" t="s">
        <v>20</v>
      </c>
      <c r="D11">
        <v>1996</v>
      </c>
      <c r="E11" t="s">
        <v>21</v>
      </c>
      <c r="F11">
        <v>50</v>
      </c>
      <c r="G11">
        <v>1176</v>
      </c>
    </row>
    <row r="12" spans="1:7" x14ac:dyDescent="0.25">
      <c r="A12">
        <v>5</v>
      </c>
      <c r="B12" t="s">
        <v>19</v>
      </c>
      <c r="C12" t="s">
        <v>20</v>
      </c>
      <c r="D12">
        <v>1996</v>
      </c>
      <c r="E12" t="s">
        <v>9</v>
      </c>
      <c r="F12">
        <v>80</v>
      </c>
      <c r="G12">
        <v>1420</v>
      </c>
    </row>
    <row r="13" spans="1:7" x14ac:dyDescent="0.25">
      <c r="A13">
        <v>9</v>
      </c>
      <c r="B13" t="s">
        <v>13</v>
      </c>
      <c r="C13" t="s">
        <v>22</v>
      </c>
      <c r="D13">
        <v>1996</v>
      </c>
      <c r="E13" t="s">
        <v>23</v>
      </c>
      <c r="F13">
        <v>15</v>
      </c>
      <c r="G13">
        <v>88.5</v>
      </c>
    </row>
    <row r="14" spans="1:7" x14ac:dyDescent="0.25">
      <c r="A14">
        <v>1</v>
      </c>
      <c r="B14" t="s">
        <v>19</v>
      </c>
      <c r="C14" t="s">
        <v>22</v>
      </c>
      <c r="D14">
        <v>1996</v>
      </c>
      <c r="E14" t="s">
        <v>23</v>
      </c>
      <c r="F14">
        <v>72</v>
      </c>
      <c r="G14">
        <v>2436.1799980000001</v>
      </c>
    </row>
    <row r="15" spans="1:7" x14ac:dyDescent="0.25">
      <c r="A15">
        <v>3</v>
      </c>
      <c r="B15" t="s">
        <v>10</v>
      </c>
      <c r="C15" t="s">
        <v>22</v>
      </c>
      <c r="D15">
        <v>1996</v>
      </c>
      <c r="E15" t="s">
        <v>12</v>
      </c>
      <c r="F15">
        <v>94</v>
      </c>
      <c r="G15">
        <v>1549.6</v>
      </c>
    </row>
    <row r="16" spans="1:7" x14ac:dyDescent="0.25">
      <c r="A16">
        <v>4</v>
      </c>
      <c r="B16" t="s">
        <v>19</v>
      </c>
      <c r="C16" t="s">
        <v>24</v>
      </c>
      <c r="D16">
        <v>1996</v>
      </c>
      <c r="E16" t="s">
        <v>15</v>
      </c>
      <c r="F16">
        <v>81</v>
      </c>
      <c r="G16">
        <v>1832.8</v>
      </c>
    </row>
    <row r="17" spans="1:7" x14ac:dyDescent="0.25">
      <c r="A17">
        <v>4</v>
      </c>
      <c r="B17" t="s">
        <v>19</v>
      </c>
      <c r="C17" t="s">
        <v>25</v>
      </c>
      <c r="D17">
        <v>1996</v>
      </c>
      <c r="E17" t="s">
        <v>23</v>
      </c>
      <c r="F17">
        <v>90</v>
      </c>
      <c r="G17">
        <v>982</v>
      </c>
    </row>
    <row r="18" spans="1:7" x14ac:dyDescent="0.25">
      <c r="A18">
        <v>4</v>
      </c>
      <c r="B18" t="s">
        <v>19</v>
      </c>
      <c r="C18" t="s">
        <v>26</v>
      </c>
      <c r="D18">
        <v>1996</v>
      </c>
      <c r="E18" t="s">
        <v>21</v>
      </c>
      <c r="F18">
        <v>11</v>
      </c>
      <c r="G18">
        <v>100.8</v>
      </c>
    </row>
    <row r="19" spans="1:7" x14ac:dyDescent="0.25">
      <c r="A19">
        <v>5</v>
      </c>
      <c r="B19" t="s">
        <v>19</v>
      </c>
      <c r="C19" t="s">
        <v>27</v>
      </c>
      <c r="D19">
        <v>1996</v>
      </c>
      <c r="E19" t="s">
        <v>21</v>
      </c>
      <c r="F19">
        <v>57</v>
      </c>
      <c r="G19">
        <v>556.61999730000002</v>
      </c>
    </row>
    <row r="20" spans="1:7" x14ac:dyDescent="0.25">
      <c r="A20">
        <v>6</v>
      </c>
      <c r="B20" t="s">
        <v>7</v>
      </c>
      <c r="C20" t="s">
        <v>27</v>
      </c>
      <c r="D20">
        <v>1996</v>
      </c>
      <c r="E20" t="s">
        <v>15</v>
      </c>
      <c r="F20">
        <v>65</v>
      </c>
      <c r="G20">
        <v>1117.5999979999999</v>
      </c>
    </row>
    <row r="21" spans="1:7" x14ac:dyDescent="0.25">
      <c r="A21">
        <v>8</v>
      </c>
      <c r="B21" t="s">
        <v>13</v>
      </c>
      <c r="C21" t="s">
        <v>28</v>
      </c>
      <c r="D21">
        <v>1996</v>
      </c>
      <c r="E21" t="s">
        <v>17</v>
      </c>
      <c r="F21">
        <v>60</v>
      </c>
      <c r="G21">
        <v>2169</v>
      </c>
    </row>
    <row r="22" spans="1:7" x14ac:dyDescent="0.25">
      <c r="A22">
        <v>4</v>
      </c>
      <c r="B22" t="s">
        <v>19</v>
      </c>
      <c r="C22" t="s">
        <v>29</v>
      </c>
      <c r="D22">
        <v>1996</v>
      </c>
      <c r="E22" t="s">
        <v>12</v>
      </c>
      <c r="F22">
        <v>40</v>
      </c>
      <c r="G22">
        <v>363.59999870000001</v>
      </c>
    </row>
    <row r="23" spans="1:7" x14ac:dyDescent="0.25">
      <c r="A23">
        <v>2</v>
      </c>
      <c r="B23" t="s">
        <v>19</v>
      </c>
      <c r="C23" t="s">
        <v>29</v>
      </c>
      <c r="D23">
        <v>1996</v>
      </c>
      <c r="E23" t="s">
        <v>9</v>
      </c>
      <c r="F23">
        <v>58</v>
      </c>
      <c r="G23">
        <v>1614.8</v>
      </c>
    </row>
    <row r="24" spans="1:7" x14ac:dyDescent="0.25">
      <c r="A24">
        <v>6</v>
      </c>
      <c r="B24" t="s">
        <v>7</v>
      </c>
      <c r="C24" t="s">
        <v>29</v>
      </c>
      <c r="D24">
        <v>1996</v>
      </c>
      <c r="E24" t="s">
        <v>12</v>
      </c>
      <c r="F24">
        <v>62</v>
      </c>
      <c r="G24">
        <v>1106.4000000000001</v>
      </c>
    </row>
    <row r="25" spans="1:7" x14ac:dyDescent="0.25">
      <c r="A25">
        <v>8</v>
      </c>
      <c r="B25" t="s">
        <v>13</v>
      </c>
      <c r="C25" t="s">
        <v>29</v>
      </c>
      <c r="D25">
        <v>1996</v>
      </c>
      <c r="E25" t="s">
        <v>9</v>
      </c>
      <c r="F25">
        <v>30</v>
      </c>
      <c r="G25">
        <v>755</v>
      </c>
    </row>
    <row r="26" spans="1:7" x14ac:dyDescent="0.25">
      <c r="A26">
        <v>3</v>
      </c>
      <c r="B26" t="s">
        <v>10</v>
      </c>
      <c r="C26" t="s">
        <v>30</v>
      </c>
      <c r="D26">
        <v>1996</v>
      </c>
      <c r="E26" t="s">
        <v>15</v>
      </c>
      <c r="F26">
        <v>18</v>
      </c>
      <c r="G26">
        <v>86.4</v>
      </c>
    </row>
    <row r="27" spans="1:7" x14ac:dyDescent="0.25">
      <c r="A27">
        <v>4</v>
      </c>
      <c r="B27" t="s">
        <v>19</v>
      </c>
      <c r="C27" t="s">
        <v>30</v>
      </c>
      <c r="D27">
        <v>1996</v>
      </c>
      <c r="E27" t="s">
        <v>12</v>
      </c>
      <c r="F27">
        <v>44</v>
      </c>
      <c r="G27">
        <v>447.2</v>
      </c>
    </row>
    <row r="28" spans="1:7" x14ac:dyDescent="0.25">
      <c r="A28">
        <v>1</v>
      </c>
      <c r="B28" t="s">
        <v>19</v>
      </c>
      <c r="C28" t="s">
        <v>31</v>
      </c>
      <c r="D28">
        <v>1996</v>
      </c>
      <c r="E28" t="s">
        <v>9</v>
      </c>
      <c r="F28">
        <v>13</v>
      </c>
      <c r="G28">
        <v>268.8</v>
      </c>
    </row>
    <row r="29" spans="1:7" x14ac:dyDescent="0.25">
      <c r="A29">
        <v>1</v>
      </c>
      <c r="B29" t="s">
        <v>19</v>
      </c>
      <c r="C29" t="s">
        <v>32</v>
      </c>
      <c r="D29">
        <v>1996</v>
      </c>
      <c r="E29" t="s">
        <v>12</v>
      </c>
      <c r="F29">
        <v>35</v>
      </c>
      <c r="G29">
        <v>950</v>
      </c>
    </row>
    <row r="30" spans="1:7" x14ac:dyDescent="0.25">
      <c r="A30">
        <v>9</v>
      </c>
      <c r="B30" t="s">
        <v>13</v>
      </c>
      <c r="C30" t="s">
        <v>33</v>
      </c>
      <c r="D30">
        <v>1996</v>
      </c>
      <c r="E30" t="s">
        <v>21</v>
      </c>
      <c r="F30">
        <v>184</v>
      </c>
      <c r="G30">
        <v>1873.8</v>
      </c>
    </row>
    <row r="31" spans="1:7" x14ac:dyDescent="0.25">
      <c r="A31">
        <v>2</v>
      </c>
      <c r="B31" t="s">
        <v>19</v>
      </c>
      <c r="C31" t="s">
        <v>33</v>
      </c>
      <c r="D31">
        <v>1996</v>
      </c>
      <c r="E31" t="s">
        <v>12</v>
      </c>
      <c r="F31">
        <v>78</v>
      </c>
      <c r="G31">
        <v>1689.779998</v>
      </c>
    </row>
    <row r="32" spans="1:7" x14ac:dyDescent="0.25">
      <c r="A32">
        <v>4</v>
      </c>
      <c r="B32" t="s">
        <v>19</v>
      </c>
      <c r="C32" t="s">
        <v>33</v>
      </c>
      <c r="D32">
        <v>1996</v>
      </c>
      <c r="E32" t="s">
        <v>15</v>
      </c>
      <c r="F32">
        <v>165</v>
      </c>
      <c r="G32">
        <v>2900</v>
      </c>
    </row>
    <row r="33" spans="1:7" x14ac:dyDescent="0.25">
      <c r="A33">
        <v>6</v>
      </c>
      <c r="B33" t="s">
        <v>7</v>
      </c>
      <c r="C33" t="s">
        <v>33</v>
      </c>
      <c r="D33">
        <v>1996</v>
      </c>
      <c r="E33" t="s">
        <v>15</v>
      </c>
      <c r="F33">
        <v>169</v>
      </c>
      <c r="G33">
        <v>2090.879997</v>
      </c>
    </row>
    <row r="34" spans="1:7" x14ac:dyDescent="0.25">
      <c r="A34">
        <v>1</v>
      </c>
      <c r="B34" t="s">
        <v>19</v>
      </c>
      <c r="C34" t="s">
        <v>33</v>
      </c>
      <c r="D34">
        <v>1996</v>
      </c>
      <c r="E34" t="s">
        <v>21</v>
      </c>
      <c r="F34">
        <v>121</v>
      </c>
      <c r="G34">
        <v>1614.8799939999999</v>
      </c>
    </row>
    <row r="35" spans="1:7" x14ac:dyDescent="0.25">
      <c r="A35">
        <v>1</v>
      </c>
      <c r="B35" t="s">
        <v>19</v>
      </c>
      <c r="C35" t="s">
        <v>33</v>
      </c>
      <c r="D35">
        <v>1996</v>
      </c>
      <c r="E35" t="s">
        <v>12</v>
      </c>
      <c r="F35">
        <v>120</v>
      </c>
      <c r="G35">
        <v>5398.7249959999999</v>
      </c>
    </row>
    <row r="36" spans="1:7" x14ac:dyDescent="0.25">
      <c r="A36">
        <v>4</v>
      </c>
      <c r="B36" t="s">
        <v>19</v>
      </c>
      <c r="C36" t="s">
        <v>34</v>
      </c>
      <c r="D36">
        <v>1996</v>
      </c>
      <c r="E36" t="s">
        <v>12</v>
      </c>
      <c r="F36">
        <v>70</v>
      </c>
      <c r="G36">
        <v>814.41999550000003</v>
      </c>
    </row>
    <row r="37" spans="1:7" x14ac:dyDescent="0.25">
      <c r="A37">
        <v>9</v>
      </c>
      <c r="B37" t="s">
        <v>13</v>
      </c>
      <c r="C37" t="s">
        <v>34</v>
      </c>
      <c r="D37">
        <v>1996</v>
      </c>
      <c r="E37" t="s">
        <v>15</v>
      </c>
      <c r="F37">
        <v>25</v>
      </c>
      <c r="G37">
        <v>166</v>
      </c>
    </row>
    <row r="38" spans="1:7" x14ac:dyDescent="0.25">
      <c r="A38">
        <v>5</v>
      </c>
      <c r="B38" t="s">
        <v>19</v>
      </c>
      <c r="C38" t="s">
        <v>35</v>
      </c>
      <c r="D38">
        <v>1996</v>
      </c>
      <c r="E38" t="s">
        <v>15</v>
      </c>
      <c r="F38">
        <v>6</v>
      </c>
      <c r="G38">
        <v>103.2</v>
      </c>
    </row>
    <row r="39" spans="1:7" x14ac:dyDescent="0.25">
      <c r="A39">
        <v>2</v>
      </c>
      <c r="B39" t="s">
        <v>19</v>
      </c>
      <c r="C39" t="s">
        <v>35</v>
      </c>
      <c r="D39">
        <v>1996</v>
      </c>
      <c r="E39" t="s">
        <v>23</v>
      </c>
      <c r="F39">
        <v>140</v>
      </c>
      <c r="G39">
        <v>1809.9999929999999</v>
      </c>
    </row>
    <row r="40" spans="1:7" x14ac:dyDescent="0.25">
      <c r="A40">
        <v>6</v>
      </c>
      <c r="B40" t="s">
        <v>7</v>
      </c>
      <c r="C40" t="s">
        <v>35</v>
      </c>
      <c r="D40">
        <v>1996</v>
      </c>
      <c r="E40" t="s">
        <v>21</v>
      </c>
      <c r="F40">
        <v>60</v>
      </c>
      <c r="G40">
        <v>695.62499890000004</v>
      </c>
    </row>
    <row r="41" spans="1:7" x14ac:dyDescent="0.25">
      <c r="A41">
        <v>1</v>
      </c>
      <c r="B41" t="s">
        <v>19</v>
      </c>
      <c r="C41" t="s">
        <v>36</v>
      </c>
      <c r="D41">
        <v>1996</v>
      </c>
      <c r="E41" t="s">
        <v>15</v>
      </c>
      <c r="F41">
        <v>121</v>
      </c>
      <c r="G41">
        <v>1903.8</v>
      </c>
    </row>
    <row r="42" spans="1:7" x14ac:dyDescent="0.25">
      <c r="A42">
        <v>4</v>
      </c>
      <c r="B42" t="s">
        <v>19</v>
      </c>
      <c r="C42" t="s">
        <v>36</v>
      </c>
      <c r="D42">
        <v>1996</v>
      </c>
      <c r="E42" t="s">
        <v>21</v>
      </c>
      <c r="F42">
        <v>135</v>
      </c>
      <c r="G42">
        <v>3536.59998</v>
      </c>
    </row>
    <row r="43" spans="1:7" x14ac:dyDescent="0.25">
      <c r="A43">
        <v>4</v>
      </c>
      <c r="B43" t="s">
        <v>19</v>
      </c>
      <c r="C43" t="s">
        <v>36</v>
      </c>
      <c r="D43">
        <v>1996</v>
      </c>
      <c r="E43" t="s">
        <v>23</v>
      </c>
      <c r="F43">
        <v>297</v>
      </c>
      <c r="G43">
        <v>4307.6399929999998</v>
      </c>
    </row>
    <row r="44" spans="1:7" x14ac:dyDescent="0.25">
      <c r="A44">
        <v>3</v>
      </c>
      <c r="B44" t="s">
        <v>10</v>
      </c>
      <c r="C44" t="s">
        <v>37</v>
      </c>
      <c r="D44">
        <v>1996</v>
      </c>
      <c r="E44" t="s">
        <v>12</v>
      </c>
      <c r="F44">
        <v>30</v>
      </c>
      <c r="G44">
        <v>136.2999993</v>
      </c>
    </row>
    <row r="45" spans="1:7" x14ac:dyDescent="0.25">
      <c r="A45">
        <v>4</v>
      </c>
      <c r="B45" t="s">
        <v>19</v>
      </c>
      <c r="C45" t="s">
        <v>37</v>
      </c>
      <c r="D45">
        <v>1996</v>
      </c>
      <c r="E45" t="s">
        <v>23</v>
      </c>
      <c r="F45">
        <v>59</v>
      </c>
      <c r="G45">
        <v>1168</v>
      </c>
    </row>
    <row r="46" spans="1:7" x14ac:dyDescent="0.25">
      <c r="A46">
        <v>8</v>
      </c>
      <c r="B46" t="s">
        <v>13</v>
      </c>
      <c r="C46" t="s">
        <v>38</v>
      </c>
      <c r="D46">
        <v>1996</v>
      </c>
      <c r="E46" t="s">
        <v>21</v>
      </c>
      <c r="F46">
        <v>14</v>
      </c>
      <c r="G46">
        <v>1101.2</v>
      </c>
    </row>
    <row r="47" spans="1:7" x14ac:dyDescent="0.25">
      <c r="A47">
        <v>8</v>
      </c>
      <c r="B47" t="s">
        <v>13</v>
      </c>
      <c r="C47" t="s">
        <v>39</v>
      </c>
      <c r="D47">
        <v>1996</v>
      </c>
      <c r="E47" t="s">
        <v>12</v>
      </c>
      <c r="F47">
        <v>10</v>
      </c>
      <c r="G47">
        <v>136</v>
      </c>
    </row>
    <row r="48" spans="1:7" x14ac:dyDescent="0.25">
      <c r="A48">
        <v>7</v>
      </c>
      <c r="B48" t="s">
        <v>7</v>
      </c>
      <c r="C48" t="s">
        <v>40</v>
      </c>
      <c r="D48">
        <v>1996</v>
      </c>
      <c r="E48" t="s">
        <v>9</v>
      </c>
      <c r="F48">
        <v>85</v>
      </c>
      <c r="G48">
        <v>1117.799998</v>
      </c>
    </row>
    <row r="49" spans="1:7" x14ac:dyDescent="0.25">
      <c r="A49">
        <v>4</v>
      </c>
      <c r="B49" t="s">
        <v>19</v>
      </c>
      <c r="C49" t="s">
        <v>41</v>
      </c>
      <c r="D49">
        <v>1996</v>
      </c>
      <c r="E49" t="s">
        <v>21</v>
      </c>
      <c r="F49">
        <v>46</v>
      </c>
      <c r="G49">
        <v>1119.9000000000001</v>
      </c>
    </row>
    <row r="50" spans="1:7" x14ac:dyDescent="0.25">
      <c r="A50">
        <v>6</v>
      </c>
      <c r="B50" t="s">
        <v>7</v>
      </c>
      <c r="C50" t="s">
        <v>41</v>
      </c>
      <c r="D50">
        <v>1996</v>
      </c>
      <c r="E50" t="s">
        <v>15</v>
      </c>
      <c r="F50">
        <v>106</v>
      </c>
      <c r="G50">
        <v>2122.919997</v>
      </c>
    </row>
    <row r="51" spans="1:7" x14ac:dyDescent="0.25">
      <c r="A51">
        <v>3</v>
      </c>
      <c r="B51" t="s">
        <v>10</v>
      </c>
      <c r="C51" t="s">
        <v>42</v>
      </c>
      <c r="D51">
        <v>1996</v>
      </c>
      <c r="E51" t="s">
        <v>21</v>
      </c>
      <c r="F51">
        <v>102</v>
      </c>
      <c r="G51">
        <v>1444.8</v>
      </c>
    </row>
    <row r="52" spans="1:7" x14ac:dyDescent="0.25">
      <c r="A52">
        <v>4</v>
      </c>
      <c r="B52" t="s">
        <v>19</v>
      </c>
      <c r="C52" t="s">
        <v>42</v>
      </c>
      <c r="D52">
        <v>1996</v>
      </c>
      <c r="E52" t="s">
        <v>21</v>
      </c>
      <c r="F52">
        <v>60</v>
      </c>
      <c r="G52">
        <v>1552.5999899999999</v>
      </c>
    </row>
    <row r="53" spans="1:7" x14ac:dyDescent="0.25">
      <c r="A53">
        <v>1</v>
      </c>
      <c r="B53" t="s">
        <v>19</v>
      </c>
      <c r="C53" t="s">
        <v>43</v>
      </c>
      <c r="D53">
        <v>1996</v>
      </c>
      <c r="E53" t="s">
        <v>15</v>
      </c>
      <c r="F53">
        <v>20</v>
      </c>
      <c r="G53">
        <v>442</v>
      </c>
    </row>
    <row r="54" spans="1:7" x14ac:dyDescent="0.25">
      <c r="A54">
        <v>3</v>
      </c>
      <c r="B54" t="s">
        <v>10</v>
      </c>
      <c r="C54" t="s">
        <v>43</v>
      </c>
      <c r="D54">
        <v>1996</v>
      </c>
      <c r="E54" t="s">
        <v>15</v>
      </c>
      <c r="F54">
        <v>25</v>
      </c>
      <c r="G54">
        <v>338</v>
      </c>
    </row>
    <row r="55" spans="1:7" x14ac:dyDescent="0.25">
      <c r="A55">
        <v>4</v>
      </c>
      <c r="B55" t="s">
        <v>19</v>
      </c>
      <c r="C55" t="s">
        <v>44</v>
      </c>
      <c r="D55">
        <v>1996</v>
      </c>
      <c r="E55" t="s">
        <v>15</v>
      </c>
      <c r="F55">
        <v>130</v>
      </c>
      <c r="G55">
        <v>1366.399995</v>
      </c>
    </row>
    <row r="56" spans="1:7" x14ac:dyDescent="0.25">
      <c r="A56">
        <v>6</v>
      </c>
      <c r="B56" t="s">
        <v>7</v>
      </c>
      <c r="C56" t="s">
        <v>44</v>
      </c>
      <c r="D56">
        <v>1996</v>
      </c>
      <c r="E56" t="s">
        <v>9</v>
      </c>
      <c r="F56">
        <v>125</v>
      </c>
      <c r="G56">
        <v>2645</v>
      </c>
    </row>
    <row r="57" spans="1:7" x14ac:dyDescent="0.25">
      <c r="A57">
        <v>7</v>
      </c>
      <c r="B57" t="s">
        <v>7</v>
      </c>
      <c r="C57" t="s">
        <v>44</v>
      </c>
      <c r="D57">
        <v>1996</v>
      </c>
      <c r="E57" t="s">
        <v>23</v>
      </c>
      <c r="F57">
        <v>86</v>
      </c>
      <c r="G57">
        <v>2036.1599920000001</v>
      </c>
    </row>
    <row r="58" spans="1:7" x14ac:dyDescent="0.25">
      <c r="A58">
        <v>3</v>
      </c>
      <c r="B58" t="s">
        <v>10</v>
      </c>
      <c r="C58" t="s">
        <v>44</v>
      </c>
      <c r="D58">
        <v>1996</v>
      </c>
      <c r="E58" t="s">
        <v>9</v>
      </c>
      <c r="F58">
        <v>75</v>
      </c>
      <c r="G58">
        <v>1762</v>
      </c>
    </row>
    <row r="59" spans="1:7" x14ac:dyDescent="0.25">
      <c r="A59">
        <v>8</v>
      </c>
      <c r="B59" t="s">
        <v>13</v>
      </c>
      <c r="C59" t="s">
        <v>44</v>
      </c>
      <c r="D59">
        <v>1996</v>
      </c>
      <c r="E59" t="s">
        <v>15</v>
      </c>
      <c r="F59">
        <v>74</v>
      </c>
      <c r="G59">
        <v>1313.8199979999999</v>
      </c>
    </row>
    <row r="60" spans="1:7" x14ac:dyDescent="0.25">
      <c r="A60">
        <v>3</v>
      </c>
      <c r="B60" t="s">
        <v>10</v>
      </c>
      <c r="C60" t="s">
        <v>45</v>
      </c>
      <c r="D60">
        <v>1996</v>
      </c>
      <c r="E60" t="s">
        <v>23</v>
      </c>
      <c r="F60">
        <v>10</v>
      </c>
      <c r="G60">
        <v>144</v>
      </c>
    </row>
    <row r="61" spans="1:7" x14ac:dyDescent="0.25">
      <c r="A61">
        <v>8</v>
      </c>
      <c r="B61" t="s">
        <v>13</v>
      </c>
      <c r="C61" t="s">
        <v>45</v>
      </c>
      <c r="D61">
        <v>1996</v>
      </c>
      <c r="E61" t="s">
        <v>23</v>
      </c>
      <c r="F61">
        <v>26</v>
      </c>
      <c r="G61">
        <v>240.4</v>
      </c>
    </row>
    <row r="62" spans="1:7" x14ac:dyDescent="0.25">
      <c r="A62">
        <v>4</v>
      </c>
      <c r="B62" t="s">
        <v>19</v>
      </c>
      <c r="C62" t="s">
        <v>45</v>
      </c>
      <c r="D62">
        <v>1996</v>
      </c>
      <c r="E62" t="s">
        <v>9</v>
      </c>
      <c r="F62">
        <v>44</v>
      </c>
      <c r="G62">
        <v>516.79999999999995</v>
      </c>
    </row>
    <row r="63" spans="1:7" x14ac:dyDescent="0.25">
      <c r="A63">
        <v>1</v>
      </c>
      <c r="B63" t="s">
        <v>19</v>
      </c>
      <c r="C63" t="s">
        <v>46</v>
      </c>
      <c r="D63">
        <v>1996</v>
      </c>
      <c r="E63" t="s">
        <v>23</v>
      </c>
      <c r="F63">
        <v>71</v>
      </c>
      <c r="G63">
        <v>1497</v>
      </c>
    </row>
    <row r="64" spans="1:7" x14ac:dyDescent="0.25">
      <c r="A64">
        <v>4</v>
      </c>
      <c r="B64" t="s">
        <v>19</v>
      </c>
      <c r="C64" t="s">
        <v>46</v>
      </c>
      <c r="D64">
        <v>1996</v>
      </c>
      <c r="E64" t="s">
        <v>23</v>
      </c>
      <c r="F64">
        <v>13</v>
      </c>
      <c r="G64">
        <v>164.4</v>
      </c>
    </row>
    <row r="65" spans="1:7" x14ac:dyDescent="0.25">
      <c r="A65">
        <v>6</v>
      </c>
      <c r="B65" t="s">
        <v>7</v>
      </c>
      <c r="C65" t="s">
        <v>47</v>
      </c>
      <c r="D65">
        <v>1996</v>
      </c>
      <c r="E65" t="s">
        <v>9</v>
      </c>
      <c r="F65">
        <v>57</v>
      </c>
      <c r="G65">
        <v>1050.5999999999999</v>
      </c>
    </row>
    <row r="66" spans="1:7" x14ac:dyDescent="0.25">
      <c r="A66">
        <v>3</v>
      </c>
      <c r="B66" t="s">
        <v>10</v>
      </c>
      <c r="C66" t="s">
        <v>47</v>
      </c>
      <c r="D66">
        <v>1996</v>
      </c>
      <c r="E66" t="s">
        <v>23</v>
      </c>
      <c r="F66">
        <v>75</v>
      </c>
      <c r="G66">
        <v>1648.999988</v>
      </c>
    </row>
    <row r="67" spans="1:7" x14ac:dyDescent="0.25">
      <c r="A67">
        <v>3</v>
      </c>
      <c r="B67" t="s">
        <v>10</v>
      </c>
      <c r="C67" t="s">
        <v>47</v>
      </c>
      <c r="D67">
        <v>1996</v>
      </c>
      <c r="E67" t="s">
        <v>17</v>
      </c>
      <c r="F67">
        <v>76</v>
      </c>
      <c r="G67">
        <v>1414.8</v>
      </c>
    </row>
    <row r="68" spans="1:7" x14ac:dyDescent="0.25">
      <c r="A68">
        <v>3</v>
      </c>
      <c r="B68" t="s">
        <v>10</v>
      </c>
      <c r="C68" t="s">
        <v>47</v>
      </c>
      <c r="D68">
        <v>1996</v>
      </c>
      <c r="E68" t="s">
        <v>15</v>
      </c>
      <c r="F68">
        <v>14</v>
      </c>
      <c r="G68">
        <v>112</v>
      </c>
    </row>
    <row r="69" spans="1:7" x14ac:dyDescent="0.25">
      <c r="A69">
        <v>1</v>
      </c>
      <c r="B69" t="s">
        <v>19</v>
      </c>
      <c r="C69" t="s">
        <v>47</v>
      </c>
      <c r="D69">
        <v>1996</v>
      </c>
      <c r="E69" t="s">
        <v>12</v>
      </c>
      <c r="F69">
        <v>54</v>
      </c>
      <c r="G69">
        <v>1167.679997</v>
      </c>
    </row>
    <row r="70" spans="1:7" x14ac:dyDescent="0.25">
      <c r="A70">
        <v>1</v>
      </c>
      <c r="B70" t="s">
        <v>19</v>
      </c>
      <c r="C70" t="s">
        <v>48</v>
      </c>
      <c r="D70">
        <v>1996</v>
      </c>
      <c r="E70" t="s">
        <v>15</v>
      </c>
      <c r="F70">
        <v>6</v>
      </c>
      <c r="G70">
        <v>72.959999730000007</v>
      </c>
    </row>
    <row r="71" spans="1:7" x14ac:dyDescent="0.25">
      <c r="A71">
        <v>5</v>
      </c>
      <c r="B71" t="s">
        <v>19</v>
      </c>
      <c r="C71" t="s">
        <v>48</v>
      </c>
      <c r="D71">
        <v>1996</v>
      </c>
      <c r="E71" t="s">
        <v>12</v>
      </c>
      <c r="F71">
        <v>40</v>
      </c>
      <c r="G71">
        <v>429.39999970000002</v>
      </c>
    </row>
    <row r="72" spans="1:7" x14ac:dyDescent="0.25">
      <c r="A72">
        <v>6</v>
      </c>
      <c r="B72" t="s">
        <v>7</v>
      </c>
      <c r="C72" t="s">
        <v>48</v>
      </c>
      <c r="D72">
        <v>1996</v>
      </c>
      <c r="E72" t="s">
        <v>12</v>
      </c>
      <c r="F72">
        <v>33</v>
      </c>
      <c r="G72">
        <v>642.05999889999998</v>
      </c>
    </row>
    <row r="73" spans="1:7" x14ac:dyDescent="0.25">
      <c r="A73">
        <v>8</v>
      </c>
      <c r="B73" t="s">
        <v>13</v>
      </c>
      <c r="C73" t="s">
        <v>49</v>
      </c>
      <c r="D73">
        <v>1996</v>
      </c>
      <c r="E73" t="s">
        <v>17</v>
      </c>
      <c r="F73">
        <v>15</v>
      </c>
      <c r="G73">
        <v>351</v>
      </c>
    </row>
    <row r="74" spans="1:7" x14ac:dyDescent="0.25">
      <c r="A74">
        <v>4</v>
      </c>
      <c r="B74" t="s">
        <v>19</v>
      </c>
      <c r="C74" t="s">
        <v>49</v>
      </c>
      <c r="D74">
        <v>1996</v>
      </c>
      <c r="E74" t="s">
        <v>23</v>
      </c>
      <c r="F74">
        <v>69</v>
      </c>
      <c r="G74">
        <v>1584</v>
      </c>
    </row>
    <row r="75" spans="1:7" x14ac:dyDescent="0.25">
      <c r="A75">
        <v>4</v>
      </c>
      <c r="B75" t="s">
        <v>19</v>
      </c>
      <c r="C75" t="s">
        <v>49</v>
      </c>
      <c r="D75">
        <v>1996</v>
      </c>
      <c r="E75" t="s">
        <v>17</v>
      </c>
      <c r="F75">
        <v>61</v>
      </c>
      <c r="G75">
        <v>1170.375</v>
      </c>
    </row>
    <row r="76" spans="1:7" x14ac:dyDescent="0.25">
      <c r="A76">
        <v>6</v>
      </c>
      <c r="B76" t="s">
        <v>7</v>
      </c>
      <c r="C76" t="s">
        <v>50</v>
      </c>
      <c r="D76">
        <v>1996</v>
      </c>
      <c r="E76" t="s">
        <v>9</v>
      </c>
      <c r="F76">
        <v>20</v>
      </c>
      <c r="G76">
        <v>288</v>
      </c>
    </row>
    <row r="77" spans="1:7" x14ac:dyDescent="0.25">
      <c r="A77">
        <v>2</v>
      </c>
      <c r="B77" t="s">
        <v>19</v>
      </c>
      <c r="C77" t="s">
        <v>50</v>
      </c>
      <c r="D77">
        <v>1996</v>
      </c>
      <c r="E77" t="s">
        <v>9</v>
      </c>
      <c r="F77">
        <v>13</v>
      </c>
      <c r="G77">
        <v>424</v>
      </c>
    </row>
    <row r="78" spans="1:7" x14ac:dyDescent="0.25">
      <c r="A78">
        <v>2</v>
      </c>
      <c r="B78" t="s">
        <v>19</v>
      </c>
      <c r="C78" t="s">
        <v>51</v>
      </c>
      <c r="D78">
        <v>1996</v>
      </c>
      <c r="E78" t="s">
        <v>9</v>
      </c>
      <c r="F78">
        <v>50</v>
      </c>
      <c r="G78">
        <v>608</v>
      </c>
    </row>
    <row r="79" spans="1:7" x14ac:dyDescent="0.25">
      <c r="A79">
        <v>1</v>
      </c>
      <c r="B79" t="s">
        <v>19</v>
      </c>
      <c r="C79" t="s">
        <v>51</v>
      </c>
      <c r="D79">
        <v>1996</v>
      </c>
      <c r="E79" t="s">
        <v>17</v>
      </c>
      <c r="F79">
        <v>18</v>
      </c>
      <c r="G79">
        <v>291.83999979999999</v>
      </c>
    </row>
    <row r="80" spans="1:7" x14ac:dyDescent="0.25">
      <c r="A80">
        <v>2</v>
      </c>
      <c r="B80" t="s">
        <v>19</v>
      </c>
      <c r="C80" t="s">
        <v>52</v>
      </c>
      <c r="D80">
        <v>1996</v>
      </c>
      <c r="E80" t="s">
        <v>17</v>
      </c>
      <c r="F80">
        <v>32</v>
      </c>
      <c r="G80">
        <v>1200.8</v>
      </c>
    </row>
    <row r="81" spans="1:7" x14ac:dyDescent="0.25">
      <c r="A81">
        <v>2</v>
      </c>
      <c r="B81" t="s">
        <v>19</v>
      </c>
      <c r="C81" t="s">
        <v>53</v>
      </c>
      <c r="D81">
        <v>1996</v>
      </c>
      <c r="E81" t="s">
        <v>23</v>
      </c>
      <c r="F81">
        <v>108</v>
      </c>
      <c r="G81">
        <v>3353.9999979999998</v>
      </c>
    </row>
    <row r="82" spans="1:7" x14ac:dyDescent="0.25">
      <c r="A82">
        <v>3</v>
      </c>
      <c r="B82" t="s">
        <v>10</v>
      </c>
      <c r="C82" t="s">
        <v>53</v>
      </c>
      <c r="D82">
        <v>1996</v>
      </c>
      <c r="E82" t="s">
        <v>23</v>
      </c>
      <c r="F82">
        <v>66</v>
      </c>
      <c r="G82">
        <v>1786.879993</v>
      </c>
    </row>
    <row r="83" spans="1:7" x14ac:dyDescent="0.25">
      <c r="A83">
        <v>1</v>
      </c>
      <c r="B83" t="s">
        <v>19</v>
      </c>
      <c r="C83" t="s">
        <v>53</v>
      </c>
      <c r="D83">
        <v>1996</v>
      </c>
      <c r="E83" t="s">
        <v>15</v>
      </c>
      <c r="F83">
        <v>42</v>
      </c>
      <c r="G83">
        <v>398.99999969999999</v>
      </c>
    </row>
    <row r="84" spans="1:7" x14ac:dyDescent="0.25">
      <c r="A84">
        <v>4</v>
      </c>
      <c r="B84" t="s">
        <v>19</v>
      </c>
      <c r="C84" t="s">
        <v>54</v>
      </c>
      <c r="D84">
        <v>1996</v>
      </c>
      <c r="E84" t="s">
        <v>23</v>
      </c>
      <c r="F84">
        <v>35</v>
      </c>
      <c r="G84">
        <v>934.5</v>
      </c>
    </row>
    <row r="85" spans="1:7" x14ac:dyDescent="0.25">
      <c r="A85">
        <v>8</v>
      </c>
      <c r="B85" t="s">
        <v>13</v>
      </c>
      <c r="C85" t="s">
        <v>54</v>
      </c>
      <c r="D85">
        <v>1996</v>
      </c>
      <c r="E85" t="s">
        <v>9</v>
      </c>
      <c r="F85">
        <v>80</v>
      </c>
      <c r="G85">
        <v>3741.299994</v>
      </c>
    </row>
    <row r="86" spans="1:7" x14ac:dyDescent="0.25">
      <c r="A86">
        <v>4</v>
      </c>
      <c r="B86" t="s">
        <v>19</v>
      </c>
      <c r="C86" t="s">
        <v>55</v>
      </c>
      <c r="D86">
        <v>1996</v>
      </c>
      <c r="E86" t="s">
        <v>21</v>
      </c>
      <c r="F86">
        <v>102</v>
      </c>
      <c r="G86">
        <v>1504.65</v>
      </c>
    </row>
    <row r="87" spans="1:7" x14ac:dyDescent="0.25">
      <c r="A87">
        <v>8</v>
      </c>
      <c r="B87" t="s">
        <v>13</v>
      </c>
      <c r="C87" t="s">
        <v>56</v>
      </c>
      <c r="D87">
        <v>1996</v>
      </c>
      <c r="E87" t="s">
        <v>12</v>
      </c>
      <c r="F87">
        <v>16</v>
      </c>
      <c r="G87">
        <v>568.79999999999995</v>
      </c>
    </row>
    <row r="88" spans="1:7" x14ac:dyDescent="0.25">
      <c r="A88">
        <v>7</v>
      </c>
      <c r="B88" t="s">
        <v>7</v>
      </c>
      <c r="C88" t="s">
        <v>56</v>
      </c>
      <c r="D88">
        <v>1996</v>
      </c>
      <c r="E88" t="s">
        <v>23</v>
      </c>
      <c r="F88">
        <v>20</v>
      </c>
      <c r="G88">
        <v>112</v>
      </c>
    </row>
    <row r="89" spans="1:7" x14ac:dyDescent="0.25">
      <c r="A89">
        <v>7</v>
      </c>
      <c r="B89" t="s">
        <v>7</v>
      </c>
      <c r="C89" t="s">
        <v>57</v>
      </c>
      <c r="D89">
        <v>1996</v>
      </c>
      <c r="E89" t="s">
        <v>12</v>
      </c>
      <c r="F89">
        <v>62</v>
      </c>
      <c r="G89">
        <v>8593.2799680000007</v>
      </c>
    </row>
    <row r="90" spans="1:7" x14ac:dyDescent="0.25">
      <c r="A90">
        <v>2</v>
      </c>
      <c r="B90" t="s">
        <v>19</v>
      </c>
      <c r="C90" t="s">
        <v>57</v>
      </c>
      <c r="D90">
        <v>1996</v>
      </c>
      <c r="E90" t="s">
        <v>15</v>
      </c>
      <c r="F90">
        <v>50</v>
      </c>
      <c r="G90">
        <v>1440</v>
      </c>
    </row>
    <row r="91" spans="1:7" x14ac:dyDescent="0.25">
      <c r="A91">
        <v>7</v>
      </c>
      <c r="B91" t="s">
        <v>7</v>
      </c>
      <c r="C91" t="s">
        <v>58</v>
      </c>
      <c r="D91">
        <v>1996</v>
      </c>
      <c r="E91" t="s">
        <v>23</v>
      </c>
      <c r="F91">
        <v>18</v>
      </c>
      <c r="G91">
        <v>285.11999950000001</v>
      </c>
    </row>
    <row r="92" spans="1:7" x14ac:dyDescent="0.25">
      <c r="A92">
        <v>5</v>
      </c>
      <c r="B92" t="s">
        <v>19</v>
      </c>
      <c r="C92" t="s">
        <v>58</v>
      </c>
      <c r="D92">
        <v>1996</v>
      </c>
      <c r="E92" t="s">
        <v>15</v>
      </c>
      <c r="F92">
        <v>28</v>
      </c>
      <c r="G92">
        <v>716.71999500000004</v>
      </c>
    </row>
    <row r="93" spans="1:7" x14ac:dyDescent="0.25">
      <c r="A93">
        <v>3</v>
      </c>
      <c r="B93" t="s">
        <v>10</v>
      </c>
      <c r="C93" t="s">
        <v>59</v>
      </c>
      <c r="D93">
        <v>1996</v>
      </c>
      <c r="E93" t="s">
        <v>17</v>
      </c>
      <c r="F93">
        <v>152</v>
      </c>
      <c r="G93">
        <v>2037.279998</v>
      </c>
    </row>
    <row r="94" spans="1:7" x14ac:dyDescent="0.25">
      <c r="A94">
        <v>1</v>
      </c>
      <c r="B94" t="s">
        <v>19</v>
      </c>
      <c r="C94" t="s">
        <v>59</v>
      </c>
      <c r="D94">
        <v>1996</v>
      </c>
      <c r="E94" t="s">
        <v>12</v>
      </c>
      <c r="F94">
        <v>109</v>
      </c>
      <c r="G94">
        <v>2046.2399969999999</v>
      </c>
    </row>
    <row r="95" spans="1:7" x14ac:dyDescent="0.25">
      <c r="A95">
        <v>2</v>
      </c>
      <c r="B95" t="s">
        <v>19</v>
      </c>
      <c r="C95" t="s">
        <v>59</v>
      </c>
      <c r="D95">
        <v>1996</v>
      </c>
      <c r="E95" t="s">
        <v>12</v>
      </c>
      <c r="F95">
        <v>159</v>
      </c>
      <c r="G95">
        <v>2924.8</v>
      </c>
    </row>
    <row r="96" spans="1:7" x14ac:dyDescent="0.25">
      <c r="A96">
        <v>8</v>
      </c>
      <c r="B96" t="s">
        <v>13</v>
      </c>
      <c r="C96" t="s">
        <v>59</v>
      </c>
      <c r="D96">
        <v>1996</v>
      </c>
      <c r="E96" t="s">
        <v>17</v>
      </c>
      <c r="F96">
        <v>140</v>
      </c>
      <c r="G96">
        <v>3016</v>
      </c>
    </row>
    <row r="97" spans="1:7" x14ac:dyDescent="0.25">
      <c r="A97">
        <v>1</v>
      </c>
      <c r="B97" t="s">
        <v>19</v>
      </c>
      <c r="C97" t="s">
        <v>59</v>
      </c>
      <c r="D97">
        <v>1996</v>
      </c>
      <c r="E97" t="s">
        <v>17</v>
      </c>
      <c r="F97">
        <v>121</v>
      </c>
      <c r="G97">
        <v>1743.3599939999999</v>
      </c>
    </row>
    <row r="98" spans="1:7" x14ac:dyDescent="0.25">
      <c r="A98">
        <v>2</v>
      </c>
      <c r="B98" t="s">
        <v>19</v>
      </c>
      <c r="C98" t="s">
        <v>59</v>
      </c>
      <c r="D98">
        <v>1996</v>
      </c>
      <c r="E98" t="s">
        <v>9</v>
      </c>
      <c r="F98">
        <v>12</v>
      </c>
      <c r="G98">
        <v>182.4</v>
      </c>
    </row>
    <row r="99" spans="1:7" x14ac:dyDescent="0.25">
      <c r="A99">
        <v>6</v>
      </c>
      <c r="B99" t="s">
        <v>7</v>
      </c>
      <c r="C99" t="s">
        <v>60</v>
      </c>
      <c r="D99">
        <v>1996</v>
      </c>
      <c r="E99" t="s">
        <v>17</v>
      </c>
      <c r="F99">
        <v>46</v>
      </c>
      <c r="G99">
        <v>497.51999919999997</v>
      </c>
    </row>
    <row r="100" spans="1:7" x14ac:dyDescent="0.25">
      <c r="A100">
        <v>4</v>
      </c>
      <c r="B100" t="s">
        <v>19</v>
      </c>
      <c r="C100" t="s">
        <v>60</v>
      </c>
      <c r="D100">
        <v>1996</v>
      </c>
      <c r="E100" t="s">
        <v>21</v>
      </c>
      <c r="F100">
        <v>40</v>
      </c>
      <c r="G100">
        <v>448</v>
      </c>
    </row>
    <row r="101" spans="1:7" x14ac:dyDescent="0.25">
      <c r="A101">
        <v>2</v>
      </c>
      <c r="B101" t="s">
        <v>19</v>
      </c>
      <c r="C101" t="s">
        <v>60</v>
      </c>
      <c r="D101">
        <v>1996</v>
      </c>
      <c r="E101" t="s">
        <v>15</v>
      </c>
      <c r="F101">
        <v>44</v>
      </c>
      <c r="G101">
        <v>863.2799986</v>
      </c>
    </row>
    <row r="102" spans="1:7" x14ac:dyDescent="0.25">
      <c r="A102">
        <v>5</v>
      </c>
      <c r="B102" t="s">
        <v>19</v>
      </c>
      <c r="C102" t="s">
        <v>61</v>
      </c>
      <c r="D102">
        <v>1996</v>
      </c>
      <c r="E102" t="s">
        <v>15</v>
      </c>
      <c r="F102">
        <v>164</v>
      </c>
      <c r="G102">
        <v>9210.9</v>
      </c>
    </row>
    <row r="103" spans="1:7" x14ac:dyDescent="0.25">
      <c r="A103">
        <v>6</v>
      </c>
      <c r="B103" t="s">
        <v>7</v>
      </c>
      <c r="C103" t="s">
        <v>62</v>
      </c>
      <c r="D103">
        <v>1996</v>
      </c>
      <c r="E103" t="s">
        <v>17</v>
      </c>
      <c r="F103">
        <v>70</v>
      </c>
      <c r="G103">
        <v>1456</v>
      </c>
    </row>
    <row r="104" spans="1:7" x14ac:dyDescent="0.25">
      <c r="A104">
        <v>3</v>
      </c>
      <c r="B104" t="s">
        <v>10</v>
      </c>
      <c r="C104" t="s">
        <v>62</v>
      </c>
      <c r="D104">
        <v>1996</v>
      </c>
      <c r="E104" t="s">
        <v>12</v>
      </c>
      <c r="F104">
        <v>56</v>
      </c>
      <c r="G104">
        <v>1618.8799979999999</v>
      </c>
    </row>
    <row r="105" spans="1:7" x14ac:dyDescent="0.25">
      <c r="A105">
        <v>4</v>
      </c>
      <c r="B105" t="s">
        <v>19</v>
      </c>
      <c r="C105" t="s">
        <v>62</v>
      </c>
      <c r="D105">
        <v>1996</v>
      </c>
      <c r="E105" t="s">
        <v>17</v>
      </c>
      <c r="F105">
        <v>75</v>
      </c>
      <c r="G105">
        <v>1887.6</v>
      </c>
    </row>
    <row r="106" spans="1:7" x14ac:dyDescent="0.25">
      <c r="A106">
        <v>8</v>
      </c>
      <c r="B106" t="s">
        <v>13</v>
      </c>
      <c r="C106" t="s">
        <v>62</v>
      </c>
      <c r="D106">
        <v>1996</v>
      </c>
      <c r="E106" t="s">
        <v>21</v>
      </c>
      <c r="F106">
        <v>29</v>
      </c>
      <c r="G106">
        <v>583.99999939999998</v>
      </c>
    </row>
    <row r="107" spans="1:7" x14ac:dyDescent="0.25">
      <c r="A107">
        <v>1</v>
      </c>
      <c r="B107" t="s">
        <v>19</v>
      </c>
      <c r="C107" t="s">
        <v>62</v>
      </c>
      <c r="D107">
        <v>1996</v>
      </c>
      <c r="E107" t="s">
        <v>9</v>
      </c>
      <c r="F107">
        <v>175</v>
      </c>
      <c r="G107">
        <v>4929.2999970000001</v>
      </c>
    </row>
    <row r="108" spans="1:7" x14ac:dyDescent="0.25">
      <c r="A108">
        <v>4</v>
      </c>
      <c r="B108" t="s">
        <v>19</v>
      </c>
      <c r="C108" t="s">
        <v>63</v>
      </c>
      <c r="D108">
        <v>1996</v>
      </c>
      <c r="E108" t="s">
        <v>17</v>
      </c>
      <c r="F108">
        <v>13</v>
      </c>
      <c r="G108">
        <v>80.099999870000005</v>
      </c>
    </row>
    <row r="109" spans="1:7" x14ac:dyDescent="0.25">
      <c r="A109">
        <v>4</v>
      </c>
      <c r="B109" t="s">
        <v>19</v>
      </c>
      <c r="C109" t="s">
        <v>64</v>
      </c>
      <c r="D109">
        <v>1996</v>
      </c>
      <c r="E109" t="s">
        <v>9</v>
      </c>
      <c r="F109">
        <v>35</v>
      </c>
      <c r="G109">
        <v>349.5</v>
      </c>
    </row>
    <row r="110" spans="1:7" x14ac:dyDescent="0.25">
      <c r="A110">
        <v>8</v>
      </c>
      <c r="B110" t="s">
        <v>13</v>
      </c>
      <c r="C110" t="s">
        <v>64</v>
      </c>
      <c r="D110">
        <v>1996</v>
      </c>
      <c r="E110" t="s">
        <v>17</v>
      </c>
      <c r="F110">
        <v>75</v>
      </c>
      <c r="G110">
        <v>818.99999579999997</v>
      </c>
    </row>
    <row r="111" spans="1:7" x14ac:dyDescent="0.25">
      <c r="A111">
        <v>9</v>
      </c>
      <c r="B111" t="s">
        <v>13</v>
      </c>
      <c r="C111" t="s">
        <v>65</v>
      </c>
      <c r="D111">
        <v>1996</v>
      </c>
      <c r="E111" t="s">
        <v>21</v>
      </c>
      <c r="F111">
        <v>110</v>
      </c>
      <c r="G111">
        <v>2490.5</v>
      </c>
    </row>
    <row r="112" spans="1:7" x14ac:dyDescent="0.25">
      <c r="A112">
        <v>4</v>
      </c>
      <c r="B112" t="s">
        <v>19</v>
      </c>
      <c r="C112" t="s">
        <v>66</v>
      </c>
      <c r="D112">
        <v>1996</v>
      </c>
      <c r="E112" t="s">
        <v>17</v>
      </c>
      <c r="F112">
        <v>19</v>
      </c>
      <c r="G112">
        <v>241.9</v>
      </c>
    </row>
    <row r="113" spans="1:7" x14ac:dyDescent="0.25">
      <c r="A113">
        <v>1</v>
      </c>
      <c r="B113" t="s">
        <v>19</v>
      </c>
      <c r="C113" t="s">
        <v>66</v>
      </c>
      <c r="D113">
        <v>1996</v>
      </c>
      <c r="E113" t="s">
        <v>9</v>
      </c>
      <c r="F113">
        <v>25</v>
      </c>
      <c r="G113">
        <v>498.5</v>
      </c>
    </row>
    <row r="114" spans="1:7" x14ac:dyDescent="0.25">
      <c r="A114">
        <v>1</v>
      </c>
      <c r="B114" t="s">
        <v>19</v>
      </c>
      <c r="C114" t="s">
        <v>67</v>
      </c>
      <c r="D114">
        <v>1996</v>
      </c>
      <c r="E114" t="s">
        <v>15</v>
      </c>
      <c r="F114">
        <v>48</v>
      </c>
      <c r="G114">
        <v>1058.4000000000001</v>
      </c>
    </row>
    <row r="115" spans="1:7" x14ac:dyDescent="0.25">
      <c r="A115">
        <v>9</v>
      </c>
      <c r="B115" t="s">
        <v>13</v>
      </c>
      <c r="C115" t="s">
        <v>68</v>
      </c>
      <c r="D115">
        <v>1996</v>
      </c>
      <c r="E115" t="s">
        <v>23</v>
      </c>
      <c r="F115">
        <v>241</v>
      </c>
      <c r="G115">
        <v>5275.7149650000001</v>
      </c>
    </row>
    <row r="116" spans="1:7" x14ac:dyDescent="0.25">
      <c r="A116">
        <v>2</v>
      </c>
      <c r="B116" t="s">
        <v>19</v>
      </c>
      <c r="C116" t="s">
        <v>68</v>
      </c>
      <c r="D116">
        <v>1996</v>
      </c>
      <c r="E116" t="s">
        <v>15</v>
      </c>
      <c r="F116">
        <v>150</v>
      </c>
      <c r="G116">
        <v>2505.5999969999998</v>
      </c>
    </row>
    <row r="117" spans="1:7" x14ac:dyDescent="0.25">
      <c r="A117">
        <v>1</v>
      </c>
      <c r="B117" t="s">
        <v>19</v>
      </c>
      <c r="C117" t="s">
        <v>68</v>
      </c>
      <c r="D117">
        <v>1996</v>
      </c>
      <c r="E117" t="s">
        <v>15</v>
      </c>
      <c r="F117">
        <v>176</v>
      </c>
      <c r="G117">
        <v>2556.9499999999998</v>
      </c>
    </row>
    <row r="118" spans="1:7" x14ac:dyDescent="0.25">
      <c r="A118">
        <v>5</v>
      </c>
      <c r="B118" t="s">
        <v>19</v>
      </c>
      <c r="C118" t="s">
        <v>69</v>
      </c>
      <c r="D118">
        <v>1996</v>
      </c>
      <c r="E118" t="s">
        <v>12</v>
      </c>
      <c r="F118">
        <v>206</v>
      </c>
      <c r="G118">
        <v>3471.6799970000002</v>
      </c>
    </row>
    <row r="119" spans="1:7" x14ac:dyDescent="0.25">
      <c r="A119">
        <v>2</v>
      </c>
      <c r="B119" t="s">
        <v>19</v>
      </c>
      <c r="C119" t="s">
        <v>69</v>
      </c>
      <c r="D119">
        <v>1996</v>
      </c>
      <c r="E119" t="s">
        <v>15</v>
      </c>
      <c r="F119">
        <v>75</v>
      </c>
      <c r="G119">
        <v>1228.7999990000001</v>
      </c>
    </row>
    <row r="120" spans="1:7" x14ac:dyDescent="0.25">
      <c r="A120">
        <v>1</v>
      </c>
      <c r="B120" t="s">
        <v>19</v>
      </c>
      <c r="C120" t="s">
        <v>69</v>
      </c>
      <c r="D120">
        <v>1996</v>
      </c>
      <c r="E120" t="s">
        <v>15</v>
      </c>
      <c r="F120">
        <v>40</v>
      </c>
      <c r="G120">
        <v>863.59999389999996</v>
      </c>
    </row>
    <row r="121" spans="1:7" x14ac:dyDescent="0.25">
      <c r="A121">
        <v>7</v>
      </c>
      <c r="B121" t="s">
        <v>7</v>
      </c>
      <c r="C121" t="s">
        <v>70</v>
      </c>
      <c r="D121">
        <v>1996</v>
      </c>
      <c r="E121" t="s">
        <v>23</v>
      </c>
      <c r="F121">
        <v>17</v>
      </c>
      <c r="G121">
        <v>352.59999759999999</v>
      </c>
    </row>
    <row r="122" spans="1:7" x14ac:dyDescent="0.25">
      <c r="A122">
        <v>6</v>
      </c>
      <c r="B122" t="s">
        <v>7</v>
      </c>
      <c r="C122" t="s">
        <v>71</v>
      </c>
      <c r="D122">
        <v>1996</v>
      </c>
      <c r="E122" t="s">
        <v>17</v>
      </c>
      <c r="F122">
        <v>24</v>
      </c>
      <c r="G122">
        <v>48</v>
      </c>
    </row>
    <row r="123" spans="1:7" x14ac:dyDescent="0.25">
      <c r="A123">
        <v>8</v>
      </c>
      <c r="B123" t="s">
        <v>13</v>
      </c>
      <c r="C123" t="s">
        <v>71</v>
      </c>
      <c r="D123">
        <v>1996</v>
      </c>
      <c r="E123" t="s">
        <v>15</v>
      </c>
      <c r="F123">
        <v>38</v>
      </c>
      <c r="G123">
        <v>2390.4</v>
      </c>
    </row>
    <row r="124" spans="1:7" x14ac:dyDescent="0.25">
      <c r="A124">
        <v>7</v>
      </c>
      <c r="B124" t="s">
        <v>7</v>
      </c>
      <c r="C124" t="s">
        <v>71</v>
      </c>
      <c r="D124">
        <v>1996</v>
      </c>
      <c r="E124" t="s">
        <v>12</v>
      </c>
      <c r="F124">
        <v>24</v>
      </c>
      <c r="G124">
        <v>141.6</v>
      </c>
    </row>
    <row r="125" spans="1:7" x14ac:dyDescent="0.25">
      <c r="A125">
        <v>4</v>
      </c>
      <c r="B125" t="s">
        <v>19</v>
      </c>
      <c r="C125" t="s">
        <v>71</v>
      </c>
      <c r="D125">
        <v>1996</v>
      </c>
      <c r="E125" t="s">
        <v>23</v>
      </c>
      <c r="F125">
        <v>50</v>
      </c>
      <c r="G125">
        <v>4578.4299959999998</v>
      </c>
    </row>
    <row r="126" spans="1:7" x14ac:dyDescent="0.25">
      <c r="A126">
        <v>1</v>
      </c>
      <c r="B126" t="s">
        <v>19</v>
      </c>
      <c r="C126" t="s">
        <v>71</v>
      </c>
      <c r="D126">
        <v>1996</v>
      </c>
      <c r="E126" t="s">
        <v>15</v>
      </c>
      <c r="F126">
        <v>38</v>
      </c>
      <c r="G126">
        <v>691.19999740000003</v>
      </c>
    </row>
    <row r="127" spans="1:7" x14ac:dyDescent="0.25">
      <c r="A127">
        <v>4</v>
      </c>
      <c r="B127" t="s">
        <v>19</v>
      </c>
      <c r="C127" t="s">
        <v>72</v>
      </c>
      <c r="D127">
        <v>1996</v>
      </c>
      <c r="E127" t="s">
        <v>9</v>
      </c>
      <c r="F127">
        <v>80</v>
      </c>
      <c r="G127">
        <v>2708.8</v>
      </c>
    </row>
    <row r="128" spans="1:7" x14ac:dyDescent="0.25">
      <c r="A128">
        <v>4</v>
      </c>
      <c r="B128" t="s">
        <v>19</v>
      </c>
      <c r="C128" t="s">
        <v>72</v>
      </c>
      <c r="D128">
        <v>1996</v>
      </c>
      <c r="E128" t="s">
        <v>21</v>
      </c>
      <c r="F128">
        <v>105</v>
      </c>
      <c r="G128">
        <v>3597.8999979999999</v>
      </c>
    </row>
    <row r="129" spans="1:7" x14ac:dyDescent="0.25">
      <c r="A129">
        <v>8</v>
      </c>
      <c r="B129" t="s">
        <v>13</v>
      </c>
      <c r="C129" t="s">
        <v>73</v>
      </c>
      <c r="D129">
        <v>1996</v>
      </c>
      <c r="E129" t="s">
        <v>9</v>
      </c>
      <c r="F129">
        <v>15</v>
      </c>
      <c r="G129">
        <v>336</v>
      </c>
    </row>
    <row r="130" spans="1:7" x14ac:dyDescent="0.25">
      <c r="A130">
        <v>6</v>
      </c>
      <c r="B130" t="s">
        <v>7</v>
      </c>
      <c r="C130" t="s">
        <v>74</v>
      </c>
      <c r="D130">
        <v>1996</v>
      </c>
      <c r="E130" t="s">
        <v>21</v>
      </c>
      <c r="F130">
        <v>49</v>
      </c>
      <c r="G130">
        <v>1863.4</v>
      </c>
    </row>
    <row r="131" spans="1:7" x14ac:dyDescent="0.25">
      <c r="A131">
        <v>1</v>
      </c>
      <c r="B131" t="s">
        <v>19</v>
      </c>
      <c r="C131" t="s">
        <v>75</v>
      </c>
      <c r="D131">
        <v>1996</v>
      </c>
      <c r="E131" t="s">
        <v>17</v>
      </c>
      <c r="F131">
        <v>33</v>
      </c>
      <c r="G131">
        <v>848.7</v>
      </c>
    </row>
    <row r="132" spans="1:7" x14ac:dyDescent="0.25">
      <c r="A132">
        <v>7</v>
      </c>
      <c r="B132" t="s">
        <v>7</v>
      </c>
      <c r="C132" t="s">
        <v>75</v>
      </c>
      <c r="D132">
        <v>1996</v>
      </c>
      <c r="E132" t="s">
        <v>23</v>
      </c>
      <c r="F132">
        <v>52</v>
      </c>
      <c r="G132">
        <v>1191.2</v>
      </c>
    </row>
    <row r="133" spans="1:7" x14ac:dyDescent="0.25">
      <c r="A133">
        <v>8</v>
      </c>
      <c r="B133" t="s">
        <v>13</v>
      </c>
      <c r="C133" t="s">
        <v>75</v>
      </c>
      <c r="D133">
        <v>1996</v>
      </c>
      <c r="E133" t="s">
        <v>17</v>
      </c>
      <c r="F133">
        <v>25</v>
      </c>
      <c r="G133">
        <v>420</v>
      </c>
    </row>
    <row r="134" spans="1:7" x14ac:dyDescent="0.25">
      <c r="A134">
        <v>1</v>
      </c>
      <c r="B134" t="s">
        <v>19</v>
      </c>
      <c r="C134" t="s">
        <v>75</v>
      </c>
      <c r="D134">
        <v>1996</v>
      </c>
      <c r="E134" t="s">
        <v>9</v>
      </c>
      <c r="F134">
        <v>42</v>
      </c>
      <c r="G134">
        <v>954.4</v>
      </c>
    </row>
    <row r="135" spans="1:7" x14ac:dyDescent="0.25">
      <c r="A135">
        <v>1</v>
      </c>
      <c r="B135" t="s">
        <v>19</v>
      </c>
      <c r="C135" t="s">
        <v>76</v>
      </c>
      <c r="D135">
        <v>1996</v>
      </c>
      <c r="E135" t="s">
        <v>17</v>
      </c>
      <c r="F135">
        <v>20</v>
      </c>
      <c r="G135">
        <v>1296</v>
      </c>
    </row>
    <row r="136" spans="1:7" x14ac:dyDescent="0.25">
      <c r="A136">
        <v>7</v>
      </c>
      <c r="B136" t="s">
        <v>7</v>
      </c>
      <c r="C136" t="s">
        <v>77</v>
      </c>
      <c r="D136">
        <v>1996</v>
      </c>
      <c r="E136" t="s">
        <v>12</v>
      </c>
      <c r="F136">
        <v>76</v>
      </c>
      <c r="G136">
        <v>834.2</v>
      </c>
    </row>
    <row r="137" spans="1:7" x14ac:dyDescent="0.25">
      <c r="A137">
        <v>8</v>
      </c>
      <c r="B137" t="s">
        <v>13</v>
      </c>
      <c r="C137" t="s">
        <v>77</v>
      </c>
      <c r="D137">
        <v>1996</v>
      </c>
      <c r="E137" t="s">
        <v>15</v>
      </c>
      <c r="F137">
        <v>139</v>
      </c>
      <c r="G137">
        <v>1765.6</v>
      </c>
    </row>
    <row r="138" spans="1:7" x14ac:dyDescent="0.25">
      <c r="A138">
        <v>8</v>
      </c>
      <c r="B138" t="s">
        <v>13</v>
      </c>
      <c r="C138" t="s">
        <v>78</v>
      </c>
      <c r="D138">
        <v>1996</v>
      </c>
      <c r="E138" t="s">
        <v>23</v>
      </c>
      <c r="F138">
        <v>18</v>
      </c>
      <c r="G138">
        <v>144.80000000000001</v>
      </c>
    </row>
    <row r="139" spans="1:7" x14ac:dyDescent="0.25">
      <c r="A139">
        <v>3</v>
      </c>
      <c r="B139" t="s">
        <v>10</v>
      </c>
      <c r="C139" t="s">
        <v>78</v>
      </c>
      <c r="D139">
        <v>1996</v>
      </c>
      <c r="E139" t="s">
        <v>21</v>
      </c>
      <c r="F139">
        <v>41</v>
      </c>
      <c r="G139">
        <v>654.05999980000001</v>
      </c>
    </row>
    <row r="140" spans="1:7" x14ac:dyDescent="0.25">
      <c r="A140">
        <v>6</v>
      </c>
      <c r="B140" t="s">
        <v>7</v>
      </c>
      <c r="C140" t="s">
        <v>79</v>
      </c>
      <c r="D140">
        <v>1996</v>
      </c>
      <c r="E140" t="s">
        <v>17</v>
      </c>
      <c r="F140">
        <v>27</v>
      </c>
      <c r="G140">
        <v>538.6</v>
      </c>
    </row>
    <row r="141" spans="1:7" x14ac:dyDescent="0.25">
      <c r="A141">
        <v>2</v>
      </c>
      <c r="B141" t="s">
        <v>19</v>
      </c>
      <c r="C141" t="s">
        <v>79</v>
      </c>
      <c r="D141">
        <v>1996</v>
      </c>
      <c r="E141" t="s">
        <v>9</v>
      </c>
      <c r="F141">
        <v>4</v>
      </c>
      <c r="G141">
        <v>121.6</v>
      </c>
    </row>
    <row r="142" spans="1:7" x14ac:dyDescent="0.25">
      <c r="A142">
        <v>5</v>
      </c>
      <c r="B142" t="s">
        <v>19</v>
      </c>
      <c r="C142" t="s">
        <v>79</v>
      </c>
      <c r="D142">
        <v>1996</v>
      </c>
      <c r="E142" t="s">
        <v>21</v>
      </c>
      <c r="F142">
        <v>27</v>
      </c>
      <c r="G142">
        <v>440</v>
      </c>
    </row>
    <row r="143" spans="1:7" x14ac:dyDescent="0.25">
      <c r="A143">
        <v>1</v>
      </c>
      <c r="B143" t="s">
        <v>19</v>
      </c>
      <c r="C143" t="s">
        <v>80</v>
      </c>
      <c r="D143">
        <v>1996</v>
      </c>
      <c r="E143" t="s">
        <v>17</v>
      </c>
      <c r="F143">
        <v>55</v>
      </c>
      <c r="G143">
        <v>1376</v>
      </c>
    </row>
    <row r="144" spans="1:7" x14ac:dyDescent="0.25">
      <c r="A144">
        <v>5</v>
      </c>
      <c r="B144" t="s">
        <v>19</v>
      </c>
      <c r="C144" t="s">
        <v>80</v>
      </c>
      <c r="D144">
        <v>1996</v>
      </c>
      <c r="E144" t="s">
        <v>23</v>
      </c>
      <c r="F144">
        <v>90</v>
      </c>
      <c r="G144">
        <v>1393.1999989999999</v>
      </c>
    </row>
    <row r="145" spans="1:7" x14ac:dyDescent="0.25">
      <c r="A145">
        <v>3</v>
      </c>
      <c r="B145" t="s">
        <v>10</v>
      </c>
      <c r="C145" t="s">
        <v>80</v>
      </c>
      <c r="D145">
        <v>1996</v>
      </c>
      <c r="E145" t="s">
        <v>21</v>
      </c>
      <c r="F145">
        <v>12</v>
      </c>
      <c r="G145">
        <v>346.55999969999999</v>
      </c>
    </row>
    <row r="146" spans="1:7" x14ac:dyDescent="0.25">
      <c r="A146">
        <v>3</v>
      </c>
      <c r="B146" t="s">
        <v>10</v>
      </c>
      <c r="C146" t="s">
        <v>81</v>
      </c>
      <c r="D146">
        <v>1996</v>
      </c>
      <c r="E146" t="s">
        <v>21</v>
      </c>
      <c r="F146">
        <v>27</v>
      </c>
      <c r="G146">
        <v>517.79999999999995</v>
      </c>
    </row>
    <row r="147" spans="1:7" x14ac:dyDescent="0.25">
      <c r="A147">
        <v>4</v>
      </c>
      <c r="B147" t="s">
        <v>19</v>
      </c>
      <c r="C147" t="s">
        <v>82</v>
      </c>
      <c r="D147">
        <v>1996</v>
      </c>
      <c r="E147" t="s">
        <v>12</v>
      </c>
      <c r="F147">
        <v>105</v>
      </c>
      <c r="G147">
        <v>2296</v>
      </c>
    </row>
    <row r="148" spans="1:7" x14ac:dyDescent="0.25">
      <c r="A148">
        <v>5</v>
      </c>
      <c r="B148" t="s">
        <v>19</v>
      </c>
      <c r="C148" t="s">
        <v>82</v>
      </c>
      <c r="D148">
        <v>1996</v>
      </c>
      <c r="E148" t="s">
        <v>21</v>
      </c>
      <c r="F148">
        <v>80</v>
      </c>
      <c r="G148">
        <v>642.19999949999999</v>
      </c>
    </row>
    <row r="149" spans="1:7" x14ac:dyDescent="0.25">
      <c r="A149">
        <v>1</v>
      </c>
      <c r="B149" t="s">
        <v>19</v>
      </c>
      <c r="C149" t="s">
        <v>83</v>
      </c>
      <c r="D149">
        <v>1996</v>
      </c>
      <c r="E149" t="s">
        <v>15</v>
      </c>
      <c r="F149">
        <v>45</v>
      </c>
      <c r="G149">
        <v>459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857AC-D2C9-4B1C-A36B-88B49426F571}">
  <dimension ref="A1:BH84"/>
  <sheetViews>
    <sheetView zoomScaleNormal="100" workbookViewId="0">
      <selection activeCell="A34" sqref="A34"/>
    </sheetView>
  </sheetViews>
  <sheetFormatPr defaultRowHeight="15" x14ac:dyDescent="0.25"/>
  <cols>
    <col min="1" max="1" width="27" style="1" bestFit="1" customWidth="1"/>
    <col min="2" max="2" width="17.7109375" style="1" bestFit="1" customWidth="1"/>
    <col min="3" max="4" width="13.7109375" style="1" bestFit="1" customWidth="1"/>
    <col min="5" max="5" width="15.5703125" style="1" bestFit="1" customWidth="1"/>
    <col min="6" max="7" width="20.5703125" style="1" bestFit="1" customWidth="1"/>
    <col min="8" max="9" width="27" style="1" bestFit="1" customWidth="1"/>
    <col min="10" max="10" width="17.7109375" style="1" bestFit="1" customWidth="1"/>
    <col min="11" max="11" width="11.28515625" style="1" bestFit="1" customWidth="1"/>
    <col min="12" max="12" width="27" style="1" bestFit="1" customWidth="1"/>
    <col min="13" max="13" width="20.5703125" style="1" bestFit="1" customWidth="1"/>
    <col min="14" max="14" width="19.140625" style="1" bestFit="1" customWidth="1"/>
    <col min="15" max="16" width="9.7109375" style="1" bestFit="1" customWidth="1"/>
    <col min="17" max="17" width="11.42578125" style="1" bestFit="1" customWidth="1"/>
    <col min="18" max="26" width="11.5703125" style="1" bestFit="1" customWidth="1"/>
    <col min="27" max="27" width="12.5703125" style="1" bestFit="1" customWidth="1"/>
    <col min="28" max="29" width="11.5703125" style="1" bestFit="1" customWidth="1"/>
    <col min="30" max="31" width="12.5703125" style="1" bestFit="1" customWidth="1"/>
    <col min="32" max="32" width="11.5703125" style="1" bestFit="1" customWidth="1"/>
    <col min="33" max="33" width="12.5703125" style="1" bestFit="1" customWidth="1"/>
    <col min="34" max="34" width="14.28515625" style="1" bestFit="1" customWidth="1"/>
    <col min="35" max="44" width="19" style="1" bestFit="1" customWidth="1"/>
    <col min="45" max="45" width="22.28515625" style="1" bestFit="1" customWidth="1"/>
    <col min="46" max="46" width="23.5703125" style="1" bestFit="1" customWidth="1"/>
    <col min="47" max="56" width="19" style="1" bestFit="1" customWidth="1"/>
    <col min="57" max="57" width="22.28515625" style="1" bestFit="1" customWidth="1"/>
    <col min="58" max="58" width="23.5703125" style="1" bestFit="1" customWidth="1"/>
    <col min="59" max="59" width="22.7109375" style="1" bestFit="1" customWidth="1"/>
    <col min="60" max="60" width="24" style="1" bestFit="1" customWidth="1"/>
    <col min="61" max="97" width="34" style="1" bestFit="1" customWidth="1"/>
    <col min="98" max="99" width="11.28515625" style="1" bestFit="1" customWidth="1"/>
    <col min="100" max="16384" width="9.140625" style="1"/>
  </cols>
  <sheetData>
    <row r="1" spans="1:13" x14ac:dyDescent="0.25">
      <c r="A1" s="15" t="s">
        <v>118</v>
      </c>
      <c r="B1" s="15"/>
      <c r="E1" s="15" t="s">
        <v>117</v>
      </c>
      <c r="F1" s="15"/>
      <c r="I1" s="15" t="s">
        <v>122</v>
      </c>
      <c r="J1" s="15"/>
    </row>
    <row r="2" spans="1:13" x14ac:dyDescent="0.25">
      <c r="A2" s="2" t="s">
        <v>112</v>
      </c>
      <c r="B2" s="1" t="s">
        <v>114</v>
      </c>
      <c r="E2" s="2" t="s">
        <v>112</v>
      </c>
      <c r="F2" s="1" t="s">
        <v>115</v>
      </c>
      <c r="I2" s="2" t="s">
        <v>112</v>
      </c>
      <c r="J2" s="1" t="s">
        <v>114</v>
      </c>
      <c r="L2" s="2" t="s">
        <v>112</v>
      </c>
      <c r="M2" s="1" t="s">
        <v>115</v>
      </c>
    </row>
    <row r="3" spans="1:13" x14ac:dyDescent="0.25">
      <c r="A3" s="1">
        <v>1</v>
      </c>
      <c r="B3" s="5">
        <v>192107.60437243004</v>
      </c>
      <c r="E3" s="1">
        <v>1</v>
      </c>
      <c r="F3" s="14">
        <v>7812</v>
      </c>
      <c r="I3" s="1" t="s">
        <v>33</v>
      </c>
      <c r="J3" s="5">
        <v>104874.9783531</v>
      </c>
      <c r="L3" s="1" t="s">
        <v>33</v>
      </c>
      <c r="M3" s="1">
        <v>4543</v>
      </c>
    </row>
    <row r="4" spans="1:13" x14ac:dyDescent="0.25">
      <c r="A4" s="1">
        <v>2</v>
      </c>
      <c r="B4" s="5">
        <v>166537.75483740005</v>
      </c>
      <c r="E4" s="1">
        <v>2</v>
      </c>
      <c r="F4" s="14">
        <v>6055</v>
      </c>
      <c r="I4" s="1" t="s">
        <v>35</v>
      </c>
      <c r="J4" s="5">
        <v>29567.562475100007</v>
      </c>
      <c r="L4" s="1" t="s">
        <v>35</v>
      </c>
      <c r="M4" s="1">
        <v>1234</v>
      </c>
    </row>
    <row r="5" spans="1:13" x14ac:dyDescent="0.25">
      <c r="A5" s="1">
        <v>3</v>
      </c>
      <c r="B5" s="5">
        <v>202812.8428494999</v>
      </c>
      <c r="E5" s="1">
        <v>3</v>
      </c>
      <c r="F5" s="14">
        <v>7852</v>
      </c>
      <c r="I5" s="1" t="s">
        <v>42</v>
      </c>
      <c r="J5" s="5">
        <v>32841.369978700001</v>
      </c>
      <c r="L5" s="1" t="s">
        <v>36</v>
      </c>
      <c r="M5" s="1">
        <v>1525</v>
      </c>
    </row>
    <row r="6" spans="1:13" x14ac:dyDescent="0.25">
      <c r="A6" s="1">
        <v>4</v>
      </c>
      <c r="B6" s="5">
        <v>232890.84573546992</v>
      </c>
      <c r="E6" s="1">
        <v>4</v>
      </c>
      <c r="F6" s="14">
        <v>9798</v>
      </c>
      <c r="I6" s="1" t="s">
        <v>44</v>
      </c>
      <c r="J6" s="5">
        <v>49979.904945899994</v>
      </c>
      <c r="L6" s="1" t="s">
        <v>41</v>
      </c>
      <c r="M6" s="1">
        <v>1096</v>
      </c>
    </row>
    <row r="7" spans="1:13" x14ac:dyDescent="0.25">
      <c r="A7" s="1">
        <v>5</v>
      </c>
      <c r="B7" s="5">
        <v>68792.2824368</v>
      </c>
      <c r="E7" s="1">
        <v>5</v>
      </c>
      <c r="F7" s="14">
        <v>3036</v>
      </c>
      <c r="I7" s="1" t="s">
        <v>46</v>
      </c>
      <c r="J7" s="5">
        <v>30908.383970399998</v>
      </c>
      <c r="L7" s="1" t="s">
        <v>44</v>
      </c>
      <c r="M7" s="1">
        <v>1684</v>
      </c>
    </row>
    <row r="8" spans="1:13" x14ac:dyDescent="0.25">
      <c r="A8" s="1">
        <v>6</v>
      </c>
      <c r="B8" s="5">
        <v>73913.129433999988</v>
      </c>
      <c r="E8" s="1">
        <v>6</v>
      </c>
      <c r="F8" s="14">
        <v>3527</v>
      </c>
      <c r="I8" s="1" t="s">
        <v>53</v>
      </c>
      <c r="J8" s="5">
        <v>28872.189949600001</v>
      </c>
      <c r="L8" s="1" t="s">
        <v>59</v>
      </c>
      <c r="M8" s="1">
        <v>3961</v>
      </c>
    </row>
    <row r="9" spans="1:13" x14ac:dyDescent="0.25">
      <c r="A9" s="1">
        <v>7</v>
      </c>
      <c r="B9" s="5">
        <v>124568.23481536999</v>
      </c>
      <c r="E9" s="1">
        <v>7</v>
      </c>
      <c r="F9" s="14">
        <v>4654</v>
      </c>
      <c r="I9" s="1" t="s">
        <v>59</v>
      </c>
      <c r="J9" s="5">
        <v>110277.30488570001</v>
      </c>
      <c r="L9" s="1" t="s">
        <v>62</v>
      </c>
      <c r="M9" s="1">
        <v>1383</v>
      </c>
    </row>
    <row r="10" spans="1:13" x14ac:dyDescent="0.25">
      <c r="A10" s="1">
        <v>8</v>
      </c>
      <c r="B10" s="5">
        <v>126862.27740720999</v>
      </c>
      <c r="E10" s="1">
        <v>8</v>
      </c>
      <c r="F10" s="14">
        <v>5913</v>
      </c>
      <c r="I10" s="1" t="s">
        <v>62</v>
      </c>
      <c r="J10" s="5">
        <v>51097.800488100002</v>
      </c>
      <c r="L10" s="1" t="s">
        <v>68</v>
      </c>
      <c r="M10" s="1">
        <v>4958</v>
      </c>
    </row>
    <row r="11" spans="1:13" x14ac:dyDescent="0.25">
      <c r="A11" s="1">
        <v>9</v>
      </c>
      <c r="B11" s="5">
        <v>77308.066402219993</v>
      </c>
      <c r="E11" s="1">
        <v>9</v>
      </c>
      <c r="F11" s="14">
        <v>2670</v>
      </c>
      <c r="I11" s="1" t="s">
        <v>68</v>
      </c>
      <c r="J11" s="5">
        <v>104361.94986920002</v>
      </c>
      <c r="L11" s="1" t="s">
        <v>72</v>
      </c>
      <c r="M11" s="1">
        <v>1072</v>
      </c>
    </row>
    <row r="12" spans="1:13" x14ac:dyDescent="0.25">
      <c r="A12" s="1" t="s">
        <v>113</v>
      </c>
      <c r="B12" s="5">
        <v>1265793.0382903998</v>
      </c>
      <c r="E12" s="1" t="s">
        <v>113</v>
      </c>
      <c r="F12" s="14">
        <v>51317</v>
      </c>
      <c r="I12" s="1" t="s">
        <v>82</v>
      </c>
      <c r="J12" s="5">
        <v>27363.6049733</v>
      </c>
      <c r="L12" s="1" t="s">
        <v>82</v>
      </c>
      <c r="M12" s="1">
        <v>1063</v>
      </c>
    </row>
    <row r="13" spans="1:13" x14ac:dyDescent="0.25">
      <c r="I13" s="1" t="s">
        <v>113</v>
      </c>
      <c r="J13" s="5">
        <v>570145.04988910002</v>
      </c>
      <c r="L13" s="1" t="s">
        <v>113</v>
      </c>
      <c r="M13" s="1">
        <v>22519</v>
      </c>
    </row>
    <row r="14" spans="1:13" x14ac:dyDescent="0.25">
      <c r="A14" s="1" t="s">
        <v>119</v>
      </c>
      <c r="B14" s="6">
        <f>GETPIVOTDATA("Total Sales",$A$2)</f>
        <v>1265793.0382903998</v>
      </c>
      <c r="E14" s="1" t="s">
        <v>120</v>
      </c>
      <c r="F14" s="7">
        <f>GETPIVOTDATA("Total Quantity",$E$2)</f>
        <v>51317</v>
      </c>
    </row>
    <row r="15" spans="1:13" x14ac:dyDescent="0.25">
      <c r="I15" s="1" t="s">
        <v>121</v>
      </c>
      <c r="J15" s="1" t="str">
        <f>I9</f>
        <v>Quick-Stop</v>
      </c>
    </row>
    <row r="16" spans="1:13" x14ac:dyDescent="0.25">
      <c r="A16" s="2" t="s">
        <v>114</v>
      </c>
      <c r="B16" s="2" t="s">
        <v>116</v>
      </c>
      <c r="G16" s="13"/>
    </row>
    <row r="17" spans="1:60" x14ac:dyDescent="0.25">
      <c r="A17" s="2" t="s">
        <v>112</v>
      </c>
      <c r="B17" s="1">
        <v>1996</v>
      </c>
      <c r="C17" s="1">
        <v>1997</v>
      </c>
      <c r="D17" s="1">
        <v>1998</v>
      </c>
      <c r="E17" s="1" t="s">
        <v>113</v>
      </c>
      <c r="G17" s="2" t="s">
        <v>115</v>
      </c>
      <c r="H17" s="2" t="s">
        <v>116</v>
      </c>
      <c r="L17"/>
      <c r="M17" s="2" t="s">
        <v>114</v>
      </c>
      <c r="N17" s="2" t="s">
        <v>116</v>
      </c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</row>
    <row r="18" spans="1:60" x14ac:dyDescent="0.25">
      <c r="A18" s="1">
        <v>1</v>
      </c>
      <c r="B18" s="4">
        <v>35764.514963530004</v>
      </c>
      <c r="C18" s="4">
        <v>93148.07744220001</v>
      </c>
      <c r="D18" s="4">
        <v>63195.011966700004</v>
      </c>
      <c r="E18" s="4">
        <v>192107.60437243001</v>
      </c>
      <c r="G18" s="2" t="s">
        <v>112</v>
      </c>
      <c r="H18" s="1">
        <v>1996</v>
      </c>
      <c r="I18" s="1">
        <v>1997</v>
      </c>
      <c r="J18" s="1">
        <v>1998</v>
      </c>
      <c r="K18" s="1" t="s">
        <v>113</v>
      </c>
      <c r="L18"/>
      <c r="M18" s="2" t="s">
        <v>112</v>
      </c>
      <c r="N18" s="1">
        <v>1996</v>
      </c>
      <c r="O18" s="1">
        <v>1997</v>
      </c>
      <c r="P18" s="1">
        <v>1998</v>
      </c>
      <c r="Q18" s="1" t="s">
        <v>113</v>
      </c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</row>
    <row r="19" spans="1:60" x14ac:dyDescent="0.25">
      <c r="A19" s="1">
        <v>2</v>
      </c>
      <c r="B19" s="4">
        <v>21757.059983599996</v>
      </c>
      <c r="C19" s="4">
        <v>70444.139936200008</v>
      </c>
      <c r="D19" s="4">
        <v>74336.554917599991</v>
      </c>
      <c r="E19" s="4">
        <v>166537.75483739999</v>
      </c>
      <c r="G19" s="1" t="s">
        <v>19</v>
      </c>
      <c r="H19" s="14">
        <v>5695</v>
      </c>
      <c r="I19" s="14">
        <v>13225</v>
      </c>
      <c r="J19" s="14">
        <v>7781</v>
      </c>
      <c r="K19" s="14">
        <v>26701</v>
      </c>
      <c r="L19"/>
      <c r="M19" s="1" t="s">
        <v>19</v>
      </c>
      <c r="N19" s="14">
        <v>125850.60988069999</v>
      </c>
      <c r="O19" s="14">
        <v>323118.47569229978</v>
      </c>
      <c r="P19" s="14">
        <v>211359.40180910006</v>
      </c>
      <c r="Q19" s="14">
        <v>660328.48738209985</v>
      </c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</row>
    <row r="20" spans="1:60" x14ac:dyDescent="0.25">
      <c r="A20" s="1">
        <v>3</v>
      </c>
      <c r="B20" s="4">
        <v>18223.959975799997</v>
      </c>
      <c r="C20" s="4">
        <v>108026.15545050001</v>
      </c>
      <c r="D20" s="4">
        <v>76562.727423200005</v>
      </c>
      <c r="E20" s="4">
        <v>202812.84284950001</v>
      </c>
      <c r="G20" s="1" t="s">
        <v>13</v>
      </c>
      <c r="H20" s="14">
        <v>1498</v>
      </c>
      <c r="I20" s="14">
        <v>3798</v>
      </c>
      <c r="J20" s="14">
        <v>3287</v>
      </c>
      <c r="K20" s="14">
        <v>8583</v>
      </c>
      <c r="L20"/>
      <c r="M20" s="1" t="s">
        <v>13</v>
      </c>
      <c r="N20" s="14">
        <v>32134.634952199998</v>
      </c>
      <c r="O20" s="14">
        <v>82343.007401540002</v>
      </c>
      <c r="P20" s="14">
        <v>89692.701455689981</v>
      </c>
      <c r="Q20" s="14">
        <v>204170.34380942996</v>
      </c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</row>
    <row r="21" spans="1:60" x14ac:dyDescent="0.25">
      <c r="A21" s="1">
        <v>4</v>
      </c>
      <c r="B21" s="4">
        <v>49945.114946070003</v>
      </c>
      <c r="C21" s="4">
        <v>128809.7908437</v>
      </c>
      <c r="D21" s="4">
        <v>54135.939945699996</v>
      </c>
      <c r="E21" s="4">
        <v>232890.84573547001</v>
      </c>
      <c r="G21" s="1" t="s">
        <v>10</v>
      </c>
      <c r="H21" s="14">
        <v>940</v>
      </c>
      <c r="I21" s="14">
        <v>4436</v>
      </c>
      <c r="J21" s="14">
        <v>2476</v>
      </c>
      <c r="K21" s="14">
        <v>7852</v>
      </c>
      <c r="L21"/>
      <c r="M21" s="1" t="s">
        <v>10</v>
      </c>
      <c r="N21" s="14">
        <v>18223.959975799997</v>
      </c>
      <c r="O21" s="14">
        <v>108026.15545050001</v>
      </c>
      <c r="P21" s="14">
        <v>76562.727423200005</v>
      </c>
      <c r="Q21" s="14">
        <v>202812.84284950001</v>
      </c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</row>
    <row r="22" spans="1:60" x14ac:dyDescent="0.25">
      <c r="A22" s="1">
        <v>5</v>
      </c>
      <c r="B22" s="4">
        <v>18383.919987500001</v>
      </c>
      <c r="C22" s="4">
        <v>30716.467470200001</v>
      </c>
      <c r="D22" s="4">
        <v>19691.894979099998</v>
      </c>
      <c r="E22" s="4">
        <v>68792.2824368</v>
      </c>
      <c r="G22" s="1" t="s">
        <v>7</v>
      </c>
      <c r="H22" s="14">
        <v>1448</v>
      </c>
      <c r="I22" s="14">
        <v>4030</v>
      </c>
      <c r="J22" s="14">
        <v>2703</v>
      </c>
      <c r="K22" s="14">
        <v>8181</v>
      </c>
      <c r="L22"/>
      <c r="M22" s="1" t="s">
        <v>7</v>
      </c>
      <c r="N22" s="14">
        <v>31874.764944099999</v>
      </c>
      <c r="O22" s="14">
        <v>103597.56432749996</v>
      </c>
      <c r="P22" s="14">
        <v>63009.034977769988</v>
      </c>
      <c r="Q22" s="14">
        <v>198481.36424936994</v>
      </c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</row>
    <row r="23" spans="1:60" x14ac:dyDescent="0.25">
      <c r="A23" s="1">
        <v>6</v>
      </c>
      <c r="B23" s="4">
        <v>16642.604988999999</v>
      </c>
      <c r="C23" s="4">
        <v>43126.369448800004</v>
      </c>
      <c r="D23" s="4">
        <v>14144.154996200001</v>
      </c>
      <c r="E23" s="4">
        <v>73913.129434000002</v>
      </c>
      <c r="G23" s="1" t="s">
        <v>113</v>
      </c>
      <c r="H23" s="14">
        <v>9581</v>
      </c>
      <c r="I23" s="14">
        <v>25489</v>
      </c>
      <c r="J23" s="14">
        <v>16247</v>
      </c>
      <c r="K23" s="14">
        <v>51317</v>
      </c>
      <c r="L23"/>
      <c r="M23" s="1" t="s">
        <v>113</v>
      </c>
      <c r="N23" s="14">
        <v>208083.96975280001</v>
      </c>
      <c r="O23" s="14">
        <v>617085.20287183975</v>
      </c>
      <c r="P23" s="14">
        <v>440623.86566576007</v>
      </c>
      <c r="Q23" s="14">
        <v>1265793.0382903996</v>
      </c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</row>
    <row r="24" spans="1:60" x14ac:dyDescent="0.25">
      <c r="A24" s="1">
        <v>7</v>
      </c>
      <c r="B24" s="4">
        <v>15232.159955100004</v>
      </c>
      <c r="C24" s="4">
        <v>60471.194878700007</v>
      </c>
      <c r="D24" s="4">
        <v>48864.879981569997</v>
      </c>
      <c r="E24" s="4">
        <v>124568.23481537</v>
      </c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</row>
    <row r="25" spans="1:60" x14ac:dyDescent="0.25">
      <c r="A25" s="1">
        <v>8</v>
      </c>
      <c r="B25" s="4">
        <v>22240.1199872</v>
      </c>
      <c r="C25" s="4">
        <v>56032.614946010006</v>
      </c>
      <c r="D25" s="4">
        <v>48589.542474000002</v>
      </c>
      <c r="E25" s="4">
        <v>126862.27740721001</v>
      </c>
      <c r="G25">
        <f>I18</f>
        <v>1997</v>
      </c>
      <c r="H25"/>
      <c r="I25"/>
      <c r="J25"/>
      <c r="K25"/>
      <c r="L25"/>
      <c r="M25"/>
      <c r="N25">
        <f>P18</f>
        <v>1998</v>
      </c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</row>
    <row r="26" spans="1:60" x14ac:dyDescent="0.25">
      <c r="A26" s="1">
        <v>9</v>
      </c>
      <c r="B26" s="4">
        <v>9894.5149650000003</v>
      </c>
      <c r="C26" s="4">
        <v>26310.39245553</v>
      </c>
      <c r="D26" s="4">
        <v>41103.158981689994</v>
      </c>
      <c r="E26" s="4">
        <v>77308.066402219993</v>
      </c>
      <c r="G26" t="str">
        <f>G19</f>
        <v>Eastern</v>
      </c>
      <c r="H26"/>
      <c r="I26"/>
      <c r="J26"/>
      <c r="K26"/>
      <c r="L26"/>
      <c r="M26"/>
      <c r="N26" t="str">
        <f>M19</f>
        <v>Eastern</v>
      </c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</row>
    <row r="27" spans="1:60" x14ac:dyDescent="0.25">
      <c r="A27" s="1" t="s">
        <v>113</v>
      </c>
      <c r="B27" s="4">
        <v>208083.96975280004</v>
      </c>
      <c r="C27" s="4">
        <v>617085.2028718401</v>
      </c>
      <c r="D27" s="4">
        <v>440623.86566576001</v>
      </c>
      <c r="E27" s="4">
        <v>1265793.0382904001</v>
      </c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</row>
    <row r="28" spans="1:60" x14ac:dyDescent="0.25"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</row>
    <row r="29" spans="1:60" x14ac:dyDescent="0.25"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</row>
    <row r="30" spans="1:60" x14ac:dyDescent="0.25"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</row>
    <row r="32" spans="1:60" x14ac:dyDescent="0.25">
      <c r="A32" s="2" t="s">
        <v>114</v>
      </c>
      <c r="B32" s="2" t="s">
        <v>116</v>
      </c>
    </row>
    <row r="33" spans="1:13" x14ac:dyDescent="0.25">
      <c r="A33" s="2" t="s">
        <v>112</v>
      </c>
      <c r="B33" s="1" t="s">
        <v>19</v>
      </c>
      <c r="C33" s="1" t="s">
        <v>13</v>
      </c>
      <c r="D33" s="1" t="s">
        <v>10</v>
      </c>
      <c r="E33" s="1" t="s">
        <v>7</v>
      </c>
      <c r="F33" s="1" t="s">
        <v>113</v>
      </c>
      <c r="H33" s="2" t="s">
        <v>115</v>
      </c>
      <c r="I33" s="2" t="s">
        <v>116</v>
      </c>
    </row>
    <row r="34" spans="1:13" x14ac:dyDescent="0.25">
      <c r="A34" s="1" t="s">
        <v>33</v>
      </c>
      <c r="B34" s="4">
        <v>45099.568432999993</v>
      </c>
      <c r="C34" s="4">
        <v>19203.3874961</v>
      </c>
      <c r="D34" s="4">
        <v>19761.349978999999</v>
      </c>
      <c r="E34" s="4">
        <v>20810.672445</v>
      </c>
      <c r="F34" s="4">
        <v>104874.97835309998</v>
      </c>
      <c r="H34" s="2" t="s">
        <v>112</v>
      </c>
      <c r="I34" s="1" t="s">
        <v>19</v>
      </c>
      <c r="J34" s="1" t="s">
        <v>13</v>
      </c>
      <c r="K34" s="1" t="s">
        <v>10</v>
      </c>
      <c r="L34" s="1" t="s">
        <v>7</v>
      </c>
      <c r="M34" s="1" t="s">
        <v>113</v>
      </c>
    </row>
    <row r="35" spans="1:13" x14ac:dyDescent="0.25">
      <c r="A35" s="1" t="s">
        <v>35</v>
      </c>
      <c r="B35" s="4">
        <v>9506.8799859999999</v>
      </c>
      <c r="C35" s="4">
        <v>5766.4999976999998</v>
      </c>
      <c r="D35" s="4">
        <v>4658.1199985000003</v>
      </c>
      <c r="E35" s="4">
        <v>9636.0624929000005</v>
      </c>
      <c r="F35" s="4">
        <v>29567.562475100003</v>
      </c>
      <c r="H35" s="1" t="s">
        <v>33</v>
      </c>
      <c r="I35" s="1">
        <v>1898</v>
      </c>
      <c r="J35" s="1">
        <v>836</v>
      </c>
      <c r="K35" s="1">
        <v>914</v>
      </c>
      <c r="L35" s="1">
        <v>895</v>
      </c>
      <c r="M35" s="1">
        <v>4543</v>
      </c>
    </row>
    <row r="36" spans="1:13" x14ac:dyDescent="0.25">
      <c r="A36" s="1" t="s">
        <v>42</v>
      </c>
      <c r="B36" s="4">
        <v>27019.119986999998</v>
      </c>
      <c r="C36" s="4">
        <v>1638.25</v>
      </c>
      <c r="D36" s="4">
        <v>4183.9999916999996</v>
      </c>
      <c r="E36" s="4"/>
      <c r="F36" s="4">
        <v>32841.369978700001</v>
      </c>
      <c r="H36" s="1" t="s">
        <v>35</v>
      </c>
      <c r="I36" s="1">
        <v>450</v>
      </c>
      <c r="J36" s="1">
        <v>296</v>
      </c>
      <c r="K36" s="1">
        <v>158</v>
      </c>
      <c r="L36" s="1">
        <v>330</v>
      </c>
      <c r="M36" s="1">
        <v>1234</v>
      </c>
    </row>
    <row r="37" spans="1:13" x14ac:dyDescent="0.25">
      <c r="A37" s="1" t="s">
        <v>44</v>
      </c>
      <c r="B37" s="4">
        <v>14490.379980000002</v>
      </c>
      <c r="C37" s="4">
        <v>8717.7199980000005</v>
      </c>
      <c r="D37" s="4">
        <v>16615.044997999998</v>
      </c>
      <c r="E37" s="4">
        <v>10156.7599699</v>
      </c>
      <c r="F37" s="4">
        <v>49979.904945899994</v>
      </c>
      <c r="H37" s="1" t="s">
        <v>36</v>
      </c>
      <c r="I37" s="1">
        <v>1188</v>
      </c>
      <c r="J37" s="1">
        <v>179</v>
      </c>
      <c r="L37" s="1">
        <v>158</v>
      </c>
      <c r="M37" s="1">
        <v>1525</v>
      </c>
    </row>
    <row r="38" spans="1:13" x14ac:dyDescent="0.25">
      <c r="A38" s="1" t="s">
        <v>46</v>
      </c>
      <c r="B38" s="4">
        <v>10241.1099994</v>
      </c>
      <c r="C38" s="4">
        <v>8996.8289909999985</v>
      </c>
      <c r="D38" s="4">
        <v>11670.44498</v>
      </c>
      <c r="E38" s="4"/>
      <c r="F38" s="4">
        <v>30908.383970399998</v>
      </c>
      <c r="H38" s="1" t="s">
        <v>41</v>
      </c>
      <c r="I38" s="1">
        <v>410</v>
      </c>
      <c r="J38" s="1">
        <v>165</v>
      </c>
      <c r="K38" s="1">
        <v>124</v>
      </c>
      <c r="L38" s="1">
        <v>397</v>
      </c>
      <c r="M38" s="1">
        <v>1096</v>
      </c>
    </row>
    <row r="39" spans="1:13" x14ac:dyDescent="0.25">
      <c r="A39" s="1" t="s">
        <v>53</v>
      </c>
      <c r="B39" s="4">
        <v>11661.1999937</v>
      </c>
      <c r="C39" s="4">
        <v>1278.3999988999999</v>
      </c>
      <c r="D39" s="4">
        <v>5660.0299909999994</v>
      </c>
      <c r="E39" s="4">
        <v>10272.559966000001</v>
      </c>
      <c r="F39" s="4">
        <v>28872.189949600001</v>
      </c>
      <c r="H39" s="1" t="s">
        <v>44</v>
      </c>
      <c r="I39" s="1">
        <v>537</v>
      </c>
      <c r="J39" s="1">
        <v>298</v>
      </c>
      <c r="K39" s="1">
        <v>399</v>
      </c>
      <c r="L39" s="1">
        <v>450</v>
      </c>
      <c r="M39" s="1">
        <v>1684</v>
      </c>
    </row>
    <row r="40" spans="1:13" x14ac:dyDescent="0.25">
      <c r="A40" s="1" t="s">
        <v>59</v>
      </c>
      <c r="B40" s="4">
        <v>66224.1098967</v>
      </c>
      <c r="C40" s="4">
        <v>19767.499995999999</v>
      </c>
      <c r="D40" s="4">
        <v>22782.694994999998</v>
      </c>
      <c r="E40" s="4">
        <v>1502.999998</v>
      </c>
      <c r="F40" s="4">
        <v>110277.3048857</v>
      </c>
      <c r="H40" s="1" t="s">
        <v>59</v>
      </c>
      <c r="I40" s="1">
        <v>2351</v>
      </c>
      <c r="J40" s="1">
        <v>837</v>
      </c>
      <c r="K40" s="1">
        <v>693</v>
      </c>
      <c r="L40" s="1">
        <v>80</v>
      </c>
      <c r="M40" s="1">
        <v>3961</v>
      </c>
    </row>
    <row r="41" spans="1:13" x14ac:dyDescent="0.25">
      <c r="A41" s="1" t="s">
        <v>62</v>
      </c>
      <c r="B41" s="4">
        <v>17864.520493699998</v>
      </c>
      <c r="C41" s="4">
        <v>14947.999999399999</v>
      </c>
      <c r="D41" s="4">
        <v>16829.279995000001</v>
      </c>
      <c r="E41" s="4">
        <v>1456</v>
      </c>
      <c r="F41" s="4">
        <v>51097.800488099994</v>
      </c>
      <c r="H41" s="1" t="s">
        <v>62</v>
      </c>
      <c r="I41" s="1">
        <v>799</v>
      </c>
      <c r="J41" s="1">
        <v>180</v>
      </c>
      <c r="K41" s="1">
        <v>334</v>
      </c>
      <c r="L41" s="1">
        <v>70</v>
      </c>
      <c r="M41" s="1">
        <v>1383</v>
      </c>
    </row>
    <row r="42" spans="1:13" x14ac:dyDescent="0.25">
      <c r="A42" s="1" t="s">
        <v>68</v>
      </c>
      <c r="B42" s="4">
        <v>53983.844925199992</v>
      </c>
      <c r="C42" s="4">
        <v>11532.964961</v>
      </c>
      <c r="D42" s="4">
        <v>3834.3999940000003</v>
      </c>
      <c r="E42" s="4">
        <v>35010.739989000002</v>
      </c>
      <c r="F42" s="4">
        <v>104361.94986920001</v>
      </c>
      <c r="H42" s="1" t="s">
        <v>68</v>
      </c>
      <c r="I42" s="1">
        <v>2808</v>
      </c>
      <c r="J42" s="1">
        <v>619</v>
      </c>
      <c r="K42" s="1">
        <v>229</v>
      </c>
      <c r="L42" s="1">
        <v>1302</v>
      </c>
      <c r="M42" s="1">
        <v>4958</v>
      </c>
    </row>
    <row r="43" spans="1:13" x14ac:dyDescent="0.25">
      <c r="A43" s="1" t="s">
        <v>82</v>
      </c>
      <c r="B43" s="4">
        <v>19125.274987800003</v>
      </c>
      <c r="C43" s="4">
        <v>2176.8799959999997</v>
      </c>
      <c r="D43" s="4">
        <v>4463.8999899999999</v>
      </c>
      <c r="E43" s="4">
        <v>1597.5499995</v>
      </c>
      <c r="F43" s="4">
        <v>27363.604973300004</v>
      </c>
      <c r="H43" s="1" t="s">
        <v>72</v>
      </c>
      <c r="I43" s="1">
        <v>703</v>
      </c>
      <c r="J43" s="1">
        <v>137</v>
      </c>
      <c r="L43" s="1">
        <v>232</v>
      </c>
      <c r="M43" s="1">
        <v>1072</v>
      </c>
    </row>
    <row r="44" spans="1:13" x14ac:dyDescent="0.25">
      <c r="A44" s="1" t="s">
        <v>113</v>
      </c>
      <c r="B44" s="4">
        <v>275216.00868249993</v>
      </c>
      <c r="C44" s="4">
        <v>94026.431434099999</v>
      </c>
      <c r="D44" s="4">
        <v>110459.26491220001</v>
      </c>
      <c r="E44" s="4">
        <v>90443.3448603</v>
      </c>
      <c r="F44" s="4">
        <v>570145.04988910002</v>
      </c>
      <c r="H44" s="1" t="s">
        <v>82</v>
      </c>
      <c r="I44" s="1">
        <v>645</v>
      </c>
      <c r="J44" s="1">
        <v>97</v>
      </c>
      <c r="K44" s="1">
        <v>176</v>
      </c>
      <c r="L44" s="1">
        <v>145</v>
      </c>
      <c r="M44" s="1">
        <v>1063</v>
      </c>
    </row>
    <row r="45" spans="1:13" x14ac:dyDescent="0.25">
      <c r="H45" s="1" t="s">
        <v>113</v>
      </c>
      <c r="I45" s="1">
        <v>11789</v>
      </c>
      <c r="J45" s="1">
        <v>3644</v>
      </c>
      <c r="K45" s="1">
        <v>3027</v>
      </c>
      <c r="L45" s="1">
        <v>4059</v>
      </c>
      <c r="M45" s="1">
        <v>22519</v>
      </c>
    </row>
    <row r="46" spans="1:13" x14ac:dyDescent="0.25">
      <c r="A46" s="1" t="s">
        <v>114</v>
      </c>
      <c r="B46" s="1" t="s">
        <v>116</v>
      </c>
    </row>
    <row r="47" spans="1:13" x14ac:dyDescent="0.25">
      <c r="A47" s="1" t="s">
        <v>112</v>
      </c>
      <c r="B47" s="1" t="s">
        <v>19</v>
      </c>
      <c r="C47" s="1" t="s">
        <v>13</v>
      </c>
      <c r="D47" s="1" t="s">
        <v>10</v>
      </c>
      <c r="E47" s="1" t="s">
        <v>7</v>
      </c>
      <c r="H47" s="15" t="s">
        <v>123</v>
      </c>
      <c r="I47" s="15"/>
    </row>
    <row r="48" spans="1:13" x14ac:dyDescent="0.25">
      <c r="A48" s="1" t="s">
        <v>33</v>
      </c>
      <c r="B48" s="9">
        <v>45099.568432999993</v>
      </c>
      <c r="C48" s="9">
        <v>19203.3874961</v>
      </c>
      <c r="D48" s="9">
        <v>19761.349978999999</v>
      </c>
      <c r="E48" s="9">
        <v>20810.672445</v>
      </c>
      <c r="G48"/>
      <c r="H48" s="2" t="s">
        <v>112</v>
      </c>
      <c r="I48" s="1" t="s">
        <v>114</v>
      </c>
    </row>
    <row r="49" spans="1:9" x14ac:dyDescent="0.25">
      <c r="A49" s="1" t="s">
        <v>35</v>
      </c>
      <c r="B49" s="9">
        <v>9506.8799859999999</v>
      </c>
      <c r="C49" s="9">
        <v>5766.4999976999998</v>
      </c>
      <c r="D49" s="9">
        <v>4658.1199985000003</v>
      </c>
      <c r="E49" s="9">
        <v>9636.0624929000005</v>
      </c>
      <c r="G49"/>
      <c r="H49" s="1" t="s">
        <v>91</v>
      </c>
      <c r="I49" s="5">
        <v>155480.1803146</v>
      </c>
    </row>
    <row r="50" spans="1:9" x14ac:dyDescent="0.25">
      <c r="A50" s="1" t="s">
        <v>42</v>
      </c>
      <c r="B50" s="9">
        <v>27019.119986999998</v>
      </c>
      <c r="C50" s="9">
        <v>1638.25</v>
      </c>
      <c r="D50" s="9">
        <v>4183.9999916999996</v>
      </c>
      <c r="E50" s="9"/>
      <c r="G50"/>
      <c r="H50" s="8">
        <v>1997</v>
      </c>
      <c r="I50" s="5">
        <v>61258.069930300007</v>
      </c>
    </row>
    <row r="51" spans="1:9" x14ac:dyDescent="0.25">
      <c r="A51" s="1" t="s">
        <v>44</v>
      </c>
      <c r="B51" s="9">
        <v>14490.379980000002</v>
      </c>
      <c r="C51" s="9">
        <v>8717.7199980000005</v>
      </c>
      <c r="D51" s="9">
        <v>16615.044997999998</v>
      </c>
      <c r="E51" s="9">
        <v>10156.7599699</v>
      </c>
      <c r="G51"/>
      <c r="H51" s="8">
        <v>1998</v>
      </c>
      <c r="I51" s="5">
        <v>94222.110384299987</v>
      </c>
    </row>
    <row r="52" spans="1:9" x14ac:dyDescent="0.25">
      <c r="A52" s="1" t="s">
        <v>46</v>
      </c>
      <c r="B52" s="9">
        <v>10241.1099994</v>
      </c>
      <c r="C52" s="9">
        <v>8996.8289909999985</v>
      </c>
      <c r="D52" s="9">
        <v>11670.44498</v>
      </c>
      <c r="E52" s="9"/>
      <c r="G52"/>
      <c r="H52" s="1" t="s">
        <v>88</v>
      </c>
      <c r="I52" s="5">
        <v>137898.92240149999</v>
      </c>
    </row>
    <row r="53" spans="1:9" x14ac:dyDescent="0.25">
      <c r="A53" s="1" t="s">
        <v>53</v>
      </c>
      <c r="B53" s="9">
        <v>11661.1999937</v>
      </c>
      <c r="C53" s="9">
        <v>1278.3999988999999</v>
      </c>
      <c r="D53" s="9">
        <v>5660.0299909999994</v>
      </c>
      <c r="E53" s="9">
        <v>10272.559966000001</v>
      </c>
      <c r="G53"/>
      <c r="H53" s="8">
        <v>1997</v>
      </c>
      <c r="I53" s="5">
        <v>38483.634943700003</v>
      </c>
    </row>
    <row r="54" spans="1:9" x14ac:dyDescent="0.25">
      <c r="A54" s="1" t="s">
        <v>59</v>
      </c>
      <c r="B54" s="9">
        <v>66224.1098967</v>
      </c>
      <c r="C54" s="9">
        <v>19767.499995999999</v>
      </c>
      <c r="D54" s="9">
        <v>22782.694994999998</v>
      </c>
      <c r="E54" s="9">
        <v>1502.999998</v>
      </c>
      <c r="G54"/>
      <c r="H54" s="8">
        <v>1998</v>
      </c>
      <c r="I54" s="5">
        <v>99415.287457800005</v>
      </c>
    </row>
    <row r="55" spans="1:9" x14ac:dyDescent="0.25">
      <c r="A55" s="1" t="s">
        <v>62</v>
      </c>
      <c r="B55" s="9">
        <v>17864.520493699998</v>
      </c>
      <c r="C55" s="9">
        <v>14947.999999399999</v>
      </c>
      <c r="D55" s="9">
        <v>16829.279995000001</v>
      </c>
      <c r="E55" s="9">
        <v>1456</v>
      </c>
      <c r="G55"/>
      <c r="H55" s="1" t="s">
        <v>89</v>
      </c>
      <c r="I55" s="5">
        <v>143401.37490708998</v>
      </c>
    </row>
    <row r="56" spans="1:9" x14ac:dyDescent="0.25">
      <c r="A56" s="1" t="s">
        <v>68</v>
      </c>
      <c r="B56" s="9">
        <v>53983.844925199992</v>
      </c>
      <c r="C56" s="9">
        <v>11532.964961</v>
      </c>
      <c r="D56" s="9">
        <v>3834.3999940000003</v>
      </c>
      <c r="E56" s="9">
        <v>35010.739989000002</v>
      </c>
      <c r="G56"/>
      <c r="H56" s="8">
        <v>1997</v>
      </c>
      <c r="I56" s="5">
        <v>38547.219968600002</v>
      </c>
    </row>
    <row r="57" spans="1:9" x14ac:dyDescent="0.25">
      <c r="A57" s="1" t="s">
        <v>82</v>
      </c>
      <c r="B57" s="9">
        <v>19125.274987800003</v>
      </c>
      <c r="C57" s="9">
        <v>2176.8799959999997</v>
      </c>
      <c r="D57" s="9">
        <v>4463.8999899999999</v>
      </c>
      <c r="E57" s="9">
        <v>1597.5499995</v>
      </c>
      <c r="G57"/>
      <c r="H57" s="8">
        <v>1998</v>
      </c>
      <c r="I57" s="5">
        <v>104854.15493848998</v>
      </c>
    </row>
    <row r="58" spans="1:9" x14ac:dyDescent="0.25">
      <c r="G58"/>
      <c r="H58" s="1" t="s">
        <v>85</v>
      </c>
      <c r="I58" s="5">
        <v>176831.63484737003</v>
      </c>
    </row>
    <row r="59" spans="1:9" x14ac:dyDescent="0.25">
      <c r="G59"/>
      <c r="H59" s="8">
        <v>1997</v>
      </c>
      <c r="I59" s="5">
        <v>53032.952427099997</v>
      </c>
    </row>
    <row r="60" spans="1:9" x14ac:dyDescent="0.25">
      <c r="G60"/>
      <c r="H60" s="8">
        <v>1998</v>
      </c>
      <c r="I60" s="5">
        <v>123798.68242027002</v>
      </c>
    </row>
    <row r="61" spans="1:9" x14ac:dyDescent="0.25">
      <c r="G61"/>
      <c r="H61" s="1" t="s">
        <v>87</v>
      </c>
      <c r="I61" s="5">
        <v>72114.920393200009</v>
      </c>
    </row>
    <row r="62" spans="1:9" x14ac:dyDescent="0.25">
      <c r="G62"/>
      <c r="H62" s="8">
        <v>1997</v>
      </c>
      <c r="I62" s="5">
        <v>53781.289928300001</v>
      </c>
    </row>
    <row r="63" spans="1:9" x14ac:dyDescent="0.25">
      <c r="H63" s="8">
        <v>1998</v>
      </c>
      <c r="I63" s="5">
        <v>18333.630464900001</v>
      </c>
    </row>
    <row r="64" spans="1:9" x14ac:dyDescent="0.25">
      <c r="H64" s="1" t="s">
        <v>86</v>
      </c>
      <c r="I64" s="5">
        <v>36362.802447799993</v>
      </c>
    </row>
    <row r="65" spans="8:9" x14ac:dyDescent="0.25">
      <c r="H65" s="8">
        <v>1997</v>
      </c>
      <c r="I65" s="5">
        <v>36362.802447799993</v>
      </c>
    </row>
    <row r="66" spans="8:9" x14ac:dyDescent="0.25">
      <c r="H66" s="1" t="s">
        <v>21</v>
      </c>
      <c r="I66" s="5">
        <v>78882.752410329995</v>
      </c>
    </row>
    <row r="67" spans="8:9" x14ac:dyDescent="0.25">
      <c r="H67" s="8">
        <v>1996</v>
      </c>
      <c r="I67" s="5">
        <v>27861.894956600001</v>
      </c>
    </row>
    <row r="68" spans="8:9" x14ac:dyDescent="0.25">
      <c r="H68" s="8">
        <v>1997</v>
      </c>
      <c r="I68" s="5">
        <v>51020.857453730001</v>
      </c>
    </row>
    <row r="69" spans="8:9" x14ac:dyDescent="0.25">
      <c r="H69" s="1" t="s">
        <v>17</v>
      </c>
      <c r="I69" s="5">
        <v>72772.944934179992</v>
      </c>
    </row>
    <row r="70" spans="8:9" x14ac:dyDescent="0.25">
      <c r="H70" s="8">
        <v>1996</v>
      </c>
      <c r="I70" s="5">
        <v>25485.27498667</v>
      </c>
    </row>
    <row r="71" spans="8:9" x14ac:dyDescent="0.25">
      <c r="H71" s="8">
        <v>1997</v>
      </c>
      <c r="I71" s="5">
        <v>47287.669947509996</v>
      </c>
    </row>
    <row r="72" spans="8:9" x14ac:dyDescent="0.25">
      <c r="H72" s="1" t="s">
        <v>9</v>
      </c>
      <c r="I72" s="5">
        <v>82010.642444599987</v>
      </c>
    </row>
    <row r="73" spans="8:9" x14ac:dyDescent="0.25">
      <c r="H73" s="8">
        <v>1996</v>
      </c>
      <c r="I73" s="5">
        <v>26381.399989000001</v>
      </c>
    </row>
    <row r="74" spans="8:9" x14ac:dyDescent="0.25">
      <c r="H74" s="8">
        <v>1997</v>
      </c>
      <c r="I74" s="5">
        <v>55629.24245559999</v>
      </c>
    </row>
    <row r="75" spans="8:9" x14ac:dyDescent="0.25">
      <c r="H75" s="1" t="s">
        <v>23</v>
      </c>
      <c r="I75" s="5">
        <v>104264.95086439999</v>
      </c>
    </row>
    <row r="76" spans="8:9" x14ac:dyDescent="0.25">
      <c r="H76" s="8">
        <v>1996</v>
      </c>
      <c r="I76" s="5">
        <v>37515.724912099991</v>
      </c>
    </row>
    <row r="77" spans="8:9" x14ac:dyDescent="0.25">
      <c r="H77" s="8">
        <v>1997</v>
      </c>
      <c r="I77" s="5">
        <v>66749.225952299996</v>
      </c>
    </row>
    <row r="78" spans="8:9" x14ac:dyDescent="0.25">
      <c r="H78" s="1" t="s">
        <v>12</v>
      </c>
      <c r="I78" s="5">
        <v>89133.853911999991</v>
      </c>
    </row>
    <row r="79" spans="8:9" x14ac:dyDescent="0.25">
      <c r="H79" s="8">
        <v>1996</v>
      </c>
      <c r="I79" s="5">
        <v>45600.044943099994</v>
      </c>
    </row>
    <row r="80" spans="8:9" x14ac:dyDescent="0.25">
      <c r="H80" s="8">
        <v>1997</v>
      </c>
      <c r="I80" s="5">
        <v>43533.808968899997</v>
      </c>
    </row>
    <row r="81" spans="8:9" x14ac:dyDescent="0.25">
      <c r="H81" s="1" t="s">
        <v>15</v>
      </c>
      <c r="I81" s="5">
        <v>116638.05841333</v>
      </c>
    </row>
    <row r="82" spans="8:9" x14ac:dyDescent="0.25">
      <c r="H82" s="8">
        <v>1996</v>
      </c>
      <c r="I82" s="5">
        <v>45239.629965330001</v>
      </c>
    </row>
    <row r="83" spans="8:9" x14ac:dyDescent="0.25">
      <c r="H83" s="8">
        <v>1997</v>
      </c>
      <c r="I83" s="5">
        <v>71398.428448000006</v>
      </c>
    </row>
    <row r="84" spans="8:9" x14ac:dyDescent="0.25">
      <c r="H84" s="1" t="s">
        <v>113</v>
      </c>
      <c r="I84" s="5">
        <v>1265793.0382904001</v>
      </c>
    </row>
  </sheetData>
  <mergeCells count="4">
    <mergeCell ref="A1:B1"/>
    <mergeCell ref="E1:F1"/>
    <mergeCell ref="I1:J1"/>
    <mergeCell ref="H47:I4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C08F2-1624-47DD-AB74-387712FEB4CB}">
  <dimension ref="F9"/>
  <sheetViews>
    <sheetView showGridLines="0" tabSelected="1" topLeftCell="G1" zoomScaleNormal="100" workbookViewId="0">
      <selection activeCell="AC12" sqref="AC12"/>
    </sheetView>
  </sheetViews>
  <sheetFormatPr defaultRowHeight="15" x14ac:dyDescent="0.25"/>
  <cols>
    <col min="1" max="16384" width="9.140625" style="11"/>
  </cols>
  <sheetData>
    <row r="9" spans="6:6" x14ac:dyDescent="0.25">
      <c r="F9" s="10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1478B-22FC-48A9-AB74-C651A68A3947}">
  <dimension ref="A1"/>
  <sheetViews>
    <sheetView showGridLines="0" topLeftCell="A11" zoomScale="70" zoomScaleNormal="70" workbookViewId="0">
      <selection activeCell="AI37" sqref="AI37"/>
    </sheetView>
  </sheetViews>
  <sheetFormatPr defaultRowHeight="15" x14ac:dyDescent="0.25"/>
  <cols>
    <col min="1" max="16384" width="9.140625" style="12"/>
  </cols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7D4A727FB8384196DD46572BBE2742" ma:contentTypeVersion="10" ma:contentTypeDescription="Create a new document." ma:contentTypeScope="" ma:versionID="21dd8f5208d79049f6682f128280ee1d">
  <xsd:schema xmlns:xsd="http://www.w3.org/2001/XMLSchema" xmlns:xs="http://www.w3.org/2001/XMLSchema" xmlns:p="http://schemas.microsoft.com/office/2006/metadata/properties" xmlns:ns3="c8064990-ceb3-4d37-918d-56c7a54fe875" targetNamespace="http://schemas.microsoft.com/office/2006/metadata/properties" ma:root="true" ma:fieldsID="32fb277a1f0fe9a27702b2d87dcfa3d4" ns3:_="">
    <xsd:import namespace="c8064990-ceb3-4d37-918d-56c7a54fe87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064990-ceb3-4d37-918d-56c7a54fe87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8064990-ceb3-4d37-918d-56c7a54fe875" xsi:nil="true"/>
  </documentManagement>
</p:properties>
</file>

<file path=customXml/itemProps1.xml><?xml version="1.0" encoding="utf-8"?>
<ds:datastoreItem xmlns:ds="http://schemas.openxmlformats.org/officeDocument/2006/customXml" ds:itemID="{4DAA3671-FB76-4481-8BAD-FF7876674A2D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1B9383AE-D19E-49C8-B2A2-2D73C65C30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064990-ceb3-4d37-918d-56c7a54fe87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BFA09AC-5E3C-4AC9-8F5A-1786CFB7BC2F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076D0C79-F266-4449-8AD9-F65F09E108A5}">
  <ds:schemaRefs>
    <ds:schemaRef ds:uri="http://schemas.microsoft.com/office/2006/metadata/properties"/>
    <ds:schemaRef ds:uri="http://purl.org/dc/dcmitype/"/>
    <ds:schemaRef ds:uri="http://purl.org/dc/terms/"/>
    <ds:schemaRef ds:uri="c8064990-ceb3-4d37-918d-56c7a54fe87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 Sales</vt:lpstr>
      <vt:lpstr>Sales_1998</vt:lpstr>
      <vt:lpstr>Sales_1997</vt:lpstr>
      <vt:lpstr>Sales_1996</vt:lpstr>
      <vt:lpstr>Analysis</vt:lpstr>
      <vt:lpstr>Dashboard</vt:lpstr>
      <vt:lpstr>Dashboard2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Hussein Hany</dc:creator>
  <cp:lastModifiedBy>Hussein Hany</cp:lastModifiedBy>
  <dcterms:created xsi:type="dcterms:W3CDTF">2025-07-26T09:59:11Z</dcterms:created>
  <dcterms:modified xsi:type="dcterms:W3CDTF">2025-07-27T20:44:32Z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0x0101005A7D4A727FB8384196DD46572BBE2742</vt:lpwstr>
  </property>
</Properties>
</file>